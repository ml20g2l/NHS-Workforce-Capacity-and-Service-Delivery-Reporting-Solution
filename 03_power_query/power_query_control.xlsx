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291840336e4f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ameters" sheetId="1" r:id="Rf61b084623004284"/>
    <x:sheet xmlns:r="http://schemas.openxmlformats.org/officeDocument/2006/relationships" name="Setup Guide" sheetId="2" r:id="Ra8507d3e7d6d482f"/>
    <x:sheet xmlns:r="http://schemas.openxmlformats.org/officeDocument/2006/relationships" name="Query Catalogue" sheetId="3" r:id="Rb088d579f31049ba"/>
    <x:sheet xmlns:r="http://schemas.openxmlformats.org/officeDocument/2006/relationships" name="Validation Rules" sheetId="4" r:id="Rea18b1cadfcc428d"/>
  </x:sheets>
</x:workbook>
</file>

<file path=xl/sharedStrings.xml><?xml version="1.0" encoding="utf-8"?>
<x:sst xmlns:x="http://schemas.openxmlformats.org/spreadsheetml/2006/main">
  <x:si>
    <x:t xml:space="preserve">Power Query Control Parameters</x:t>
  </x:si>
  <x:si>
    <x:t xml:space="preserve">Edit the yellow ParameterValue cells when the project folder moves. The named Excel table must remain tblParameters.</x:t>
  </x:si>
  <x:si>
    <x:t xml:space="preserve">Readiness summary</x:t>
  </x:si>
  <x:si>
    <x:t xml:space="preserve">Check</x:t>
  </x:si>
  <x:si>
    <x:t xml:space="preserve">Result</x:t>
  </x:si>
  <x:si>
    <x:t xml:space="preserve">Parameter rows</x:t>
  </x:si>
  <x:si>
    <x:t xml:space="preserve">Blank values</x:t>
  </x:si>
  <x:si>
    <x:t xml:space="preserve">Date order</x:t>
  </x:si>
  <x:si>
    <x:t xml:space="preserve">Important</x:t>
  </x:si>
  <x:si>
    <x:t xml:space="preserve">The workforce folder points to a reproducible staging extract, not directly to the ZIP. Run prepare_workforce_extract.ps1 first. The raw ZIP remains unchanged and the extracted CSV is excluded from Git.</x:t>
  </x:si>
  <x:si>
    <x:t xml:space="preserve">Power Query Setup Guide</x:t>
  </x:si>
  <x:si>
    <x:t xml:space="preserve">Create blank queries in Excel and paste the supplied M expressions into Advanced Editor.</x:t>
  </x:si>
  <x:si>
    <x:t xml:space="preserve">Power Query Catalogue</x:t>
  </x:si>
  <x:si>
    <x:t xml:space="preserve">The query name must match this catalogue because downstream M expressions refer to these names.</x:t>
  </x:si>
  <x:si>
    <x:t xml:space="preserve">Validation and Provenance Rules</x:t>
  </x:si>
  <x:si>
    <x:t xml:space="preserve">Stable automated checks used to classify rows before they reach the clean reporting outputs.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</x:si>
</x:sst>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sz val="9"/>
      <x:color rgb="FF404040"/>
      <x:name val="Carlito"/>
    </x:font>
    <x:font>
      <x:b/>
      <x:sz val="9"/>
      <x:color rgb="FF7F6000"/>
      <x:name val="Carlito"/>
    </x:font>
    <x:font>
      <x:b/>
      <x:sz val="11"/>
      <x:color rgb="FF7F6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B4C6D7"/>
      </x:left>
      <x:top style="thin">
        <x:color rgb="FFB4C6D7"/>
      </x:top>
      <x:bottom style="thin">
        <x:color rgb="FFB4C6D7"/>
      </x:bottom>
    </x:border>
    <x:border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C9B458"/>
      </x:left>
      <x:top style="thin">
        <x:color rgb="FFC9B458"/>
      </x:top>
    </x:border>
    <x:border>
      <x:top style="thin">
        <x:color rgb="FFC9B458"/>
      </x:top>
    </x:border>
    <x:border>
      <x:right style="thin">
        <x:color rgb="FFC9B458"/>
      </x:right>
      <x:top style="thin">
        <x:color rgb="FFC9B458"/>
      </x:top>
    </x:border>
    <x:border>
      <x:left style="thin">
        <x:color rgb="FFC9B458"/>
      </x:left>
    </x:border>
    <x:border>
      <x:right style="thin">
        <x:color rgb="FFC9B458"/>
      </x:right>
    </x:border>
    <x:border>
      <x:left style="thin">
        <x:color rgb="FFC9B458"/>
      </x:left>
      <x:bottom style="thin">
        <x:color rgb="FFC9B458"/>
      </x:bottom>
    </x:border>
    <x:border>
      <x:bottom style="thin">
        <x:color rgb="FFC9B458"/>
      </x:bottom>
    </x:border>
    <x:border>
      <x:right style="thin">
        <x:color rgb="FFC9B458"/>
      </x:right>
      <x:bottom style="thin">
        <x:color rgb="FFC9B458"/>
      </x:bottom>
    </x:border>
    <x:border>
      <x:top style="thin">
        <x:color rgb="FFB4C6D7"/>
      </x:top>
      <x:bottom style="thin">
        <x:color rgb="FFB4C6D7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3" fillId="4" borderId="1" xfId="0" applyFont="1" applyFill="1" applyBorder="1" applyAlignment="1">
      <x:alignment vertical="center" wrapText="1"/>
    </x:xf>
    <x:xf numFmtId="0" fontId="3" fillId="4" borderId="2" xfId="0" applyFont="1" applyFill="1" applyBorder="1" applyAlignment="1">
      <x:alignment vertical="center" wrapText="1"/>
    </x:xf>
    <x:xf numFmtId="0" fontId="4" fillId="0" borderId="3" xfId="0" applyFont="1" applyBorder="1" applyAlignment="1">
      <x:alignment vertical="top" wrapText="1"/>
    </x:xf>
    <x:xf numFmtId="0" fontId="4" fillId="0" borderId="4" xfId="0" applyFont="1" applyBorder="1" applyAlignment="1">
      <x:alignment vertical="top" wrapText="1"/>
    </x:xf>
    <x:xf numFmtId="0" fontId="5" fillId="5" borderId="3" xfId="0" applyFont="1" applyFill="1" applyBorder="1" applyAlignment="1">
      <x:alignment vertical="top" wrapText="1"/>
    </x:xf>
    <x:xf numFmtId="0" fontId="5" fillId="5" borderId="4" xfId="0" applyFont="1" applyFill="1" applyBorder="1" applyAlignment="1">
      <x:alignment vertical="top" wrapText="1"/>
    </x:xf>
    <x:xf numFmtId="164" fontId="5" fillId="5" borderId="4" xfId="0" applyNumberFormat="1" applyFont="1" applyFill="1" applyBorder="1" applyAlignment="1">
      <x:alignment vertical="top" wrapText="1"/>
    </x:xf>
    <x:xf numFmtId="0" fontId="4" fillId="6" borderId="3" xfId="0" applyFont="1" applyFill="1" applyBorder="1" applyAlignment="1">
      <x:alignment vertical="top" wrapText="1"/>
    </x:xf>
    <x:xf numFmtId="0" fontId="4" fillId="6" borderId="4" xfId="0" applyFont="1" applyFill="1" applyBorder="1" applyAlignment="1">
      <x:alignment vertical="top" wrapText="1"/>
    </x:xf>
    <x:xf numFmtId="0" fontId="3" fillId="7" borderId="1" xfId="0" applyFont="1" applyFill="1" applyBorder="1" applyAlignment="1">
      <x:alignment vertical="center" wrapText="1"/>
    </x:xf>
    <x:xf numFmtId="0" fontId="3" fillId="7" borderId="13" xfId="0" applyFont="1" applyFill="1" applyBorder="1" applyAlignment="1">
      <x:alignment vertical="center" wrapText="1"/>
    </x:xf>
    <x:xf numFmtId="0" fontId="3" fillId="7" borderId="2" xfId="0" applyFont="1" applyFill="1" applyBorder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3" fillId="4" borderId="0" xfId="0" applyFont="1" applyFill="1"/>
    <x:xf numFmtId="0" fontId="6" fillId="5" borderId="5" xfId="0" applyFont="1" applyFill="1" applyBorder="1" applyAlignment="1">
      <x:alignment vertical="center" wrapText="1"/>
    </x:xf>
    <x:xf numFmtId="0" fontId="6" fillId="5" borderId="6" xfId="0" applyFont="1" applyFill="1" applyBorder="1" applyAlignment="1">
      <x:alignment vertical="center" wrapText="1"/>
    </x:xf>
    <x:xf numFmtId="0" fontId="6" fillId="5" borderId="7" xfId="0" applyFont="1" applyFill="1" applyBorder="1" applyAlignment="1">
      <x:alignment vertical="center" wrapText="1"/>
    </x:xf>
    <x:xf numFmtId="0" fontId="6" fillId="5" borderId="8" xfId="0" applyFont="1" applyFill="1" applyBorder="1" applyAlignment="1">
      <x:alignment vertical="center" wrapText="1"/>
    </x:xf>
    <x:xf numFmtId="0" fontId="6" fillId="5" borderId="0" xfId="0" applyFont="1" applyFill="1" applyAlignment="1">
      <x:alignment vertical="center" wrapText="1"/>
    </x:xf>
    <x:xf numFmtId="0" fontId="6" fillId="5" borderId="9" xfId="0" applyFont="1" applyFill="1" applyBorder="1" applyAlignment="1">
      <x:alignment vertical="center" wrapText="1"/>
    </x:xf>
    <x:xf numFmtId="0" fontId="6" fillId="5" borderId="10" xfId="0" applyFont="1" applyFill="1" applyBorder="1" applyAlignment="1">
      <x:alignment vertical="center" wrapText="1"/>
    </x:xf>
    <x:xf numFmtId="0" fontId="6" fillId="5" borderId="11" xfId="0" applyFont="1" applyFill="1" applyBorder="1" applyAlignment="1">
      <x:alignment vertical="center" wrapText="1"/>
    </x:xf>
    <x:xf numFmtId="0" fontId="6" fillId="5" borderId="12" xfId="0" applyFont="1" applyFill="1" applyBorder="1" applyAlignment="1">
      <x:alignment vertical="center" wrapText="1"/>
    </x:xf>
    <x:xf numFmtId="0" fontId="0" fillId="0" borderId="0" xfId="0"/>
    <x:xf numFmtId="0" fontId="5" fillId="8" borderId="3" xfId="0" applyNumberFormat="1" applyFont="1" applyFill="1" applyBorder="1" applyAlignment="1">
      <x:alignment vertical="top" wrapText="1"/>
    </x:xf>
    <x:xf numFmtId="0" fontId="5" fillId="8" borderId="4" xfId="0" applyNumberFormat="1" applyFont="1" applyFill="1" applyBorder="1" applyAlignment="1">
      <x:alignment vertical="top" wrapText="1"/>
    </x:xf>
    <x:xf numFmtId="164" fontId="5" fillId="8" borderId="4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200" fontId="5" fillId="8" borderId="4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/>
    <x:xf numFmtId="0" fontId="5" fillId="9" borderId="3" xfId="0" applyNumberFormat="1" applyFont="1" applyFill="1" applyBorder="1" applyAlignment="1">
      <x:alignment vertical="top" wrapText="1"/>
    </x:xf>
    <x:xf numFmtId="0" fontId="5" fillId="9" borderId="4" xfId="0" applyNumberFormat="1" applyFont="1" applyFill="1" applyBorder="1" applyAlignment="1">
      <x:alignment vertical="top" wrapText="1"/>
    </x:xf>
    <x:xf numFmtId="164" fontId="5" fillId="9" borderId="4" xfId="0" applyNumberFormat="1" applyFont="1" applyFill="1" applyBorder="1" applyAlignment="1">
      <x:alignment vertical="top" wrapText="1"/>
    </x:xf>
    <x:xf numFmtId="200" fontId="5" fillId="9" borderId="4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/>
  </x:cellXfs>
  <x:cellStyles count="1">
    <x:cellStyle name="Normal" xfId="0"/>
  </x:cellStyles>
  <x:dxfs count="11">
    <x:dxf>
      <x:font>
        <x:b/>
        <x:color rgb="FF9C0006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17365D"/>
      </x:font>
      <x:fill>
        <x:patternFill>
          <x:bgColor rgb="FFD9EAF7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a5eb691a7b4404" /><Relationship Type="http://schemas.openxmlformats.org/officeDocument/2006/relationships/theme" Target="/xl/theme/theme1.xml" Id="R1e91246a40dd485c" /><Relationship Type="http://schemas.openxmlformats.org/officeDocument/2006/relationships/sharedStrings" Target="/xl/sharedStrings.xml" Id="Rb8681f98c096444a" /><Relationship Type="http://schemas.openxmlformats.org/officeDocument/2006/relationships/worksheet" Target="/xl/worksheets/sheet1.xml" Id="Rf61b084623004284" /><Relationship Type="http://schemas.openxmlformats.org/officeDocument/2006/relationships/worksheet" Target="/xl/worksheets/sheet2.xml" Id="Ra8507d3e7d6d482f" /><Relationship Type="http://schemas.openxmlformats.org/officeDocument/2006/relationships/worksheet" Target="/xl/worksheets/sheet3.xml" Id="Rb088d579f31049ba" /><Relationship Type="http://schemas.openxmlformats.org/officeDocument/2006/relationships/worksheet" Target="/xl/worksheets/sheet4.xml" Id="Rea18b1cadfcc428d" /></Relationships>
</file>

<file path=xl/tables/table1.xml><?xml version="1.0" encoding="utf-8"?>
<x:table xmlns:x="http://schemas.openxmlformats.org/spreadsheetml/2006/main" id="15" name="tblParameters" displayName="tblParameters" ref="A4:B10" headerRowCount="1" totalsRowCount="0" totalsRowShown="0">
  <x:tableColumns count="2">
    <x:tableColumn id="1" name="ParameterName"/>
    <x:tableColumn id="2" name="Parameter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6" name="SetupSteps" displayName="SetupSteps" ref="A5:E14" headerRowCount="1" totalsRowCount="0" totalsRowShown="0">
  <x:tableColumns count="5">
    <x:tableColumn id="1" name="Step"/>
    <x:tableColumn id="2" name="Stage"/>
    <x:tableColumn id="3" name="Action"/>
    <x:tableColumn id="4" name="Expected result"/>
    <x:tableColumn id="5" name="Load or ca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7" name="QueryCatalogue" displayName="QueryCatalogue" ref="A5:G36" headerRowCount="1" totalsRowCount="0" totalsRowShown="0">
  <x:tableColumns count="7">
    <x:tableColumn id="1" name="Order"/>
    <x:tableColumn id="2" name="Query name"/>
    <x:tableColumn id="3" name="Type"/>
    <x:tableColumn id="4" name="M file"/>
    <x:tableColumn id="5" name="Depends on"/>
    <x:tableColumn id="6" name="Recommended load"/>
    <x:tableColumn id="7" name="Output or purpos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8" name="ValidationRules" displayName="ValidationRules" ref="A5:F29" headerRowCount="1" totalsRowCount="0" totalsRowShown="0">
  <x:tableColumns count="6">
    <x:tableColumn id="1" name="Dataset"/>
    <x:tableColumn id="2" name="Control"/>
    <x:tableColumn id="3" name="Rule"/>
    <x:tableColumn id="4" name="Fields or evidence"/>
    <x:tableColumn id="5" name="Record treatment"/>
    <x:tableColumn id="6" name="Sever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785a0083e249a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60c202e64714a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15416fb3f6f49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d046f501d094b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9" customWidth="1"/>
    <x:col min="2" max="2" width="82" customWidth="1"/>
    <x:col min="3" max="3" width="5" customWidth="1"/>
    <x:col min="4" max="4" width="28" customWidth="1"/>
    <x:col min="5" max="5" width="22" customWidth="1"/>
    <x:col min="6" max="6" width="26" customWidth="1"/>
  </x:cols>
  <x:sheetData>
    <x:row r="1" ht="30.950000762939453" customHeight="1">
      <x:c r="A1" s="13" t="s">
        <x:v>0</x:v>
      </x:c>
      <x:c r="B1" s="13"/>
      <x:c r="C1" s="13"/>
      <x:c r="D1" s="13"/>
      <x:c r="E1" s="13"/>
      <x:c r="F1" s="13"/>
    </x:row>
    <x:row r="2" ht="33.95000076293945" customHeight="1">
      <x:c r="A2" s="14" t="s">
        <x:v>1</x:v>
      </x:c>
      <x:c r="B2" s="14"/>
      <x:c r="C2" s="14"/>
      <x:c r="D2" s="14"/>
      <x:c r="E2" s="14"/>
      <x:c r="F2" s="14"/>
    </x:row>
    <x:row r="4" ht="30.950000762939453" customHeight="1">
      <x:c r="A4" s="1" t="str">
        <x:v>ParameterName</x:v>
      </x:c>
      <x:c r="B4" s="2" t="str">
        <x:v>ParameterValue</x:v>
      </x:c>
      <x:c r="D4" s="15" t="s">
        <x:v>2</x:v>
      </x:c>
      <x:c r="E4" s="15"/>
      <x:c r="F4" s="15"/>
    </x:row>
    <x:row r="5" ht="30.950000762939453" customHeight="1">
      <x:c r="A5" s="3" t="str">
        <x:v>WorkforceFolder</x:v>
      </x:c>
      <x:c r="B5" s="32" t="str">
        <x:v>C:\Users\wldbs\OneDrive\바탕화면\Works\project6\04_processed_data\staging\workforce</x:v>
      </x:c>
      <x:c r="D5" s="1" t="s">
        <x:v>3</x:v>
      </x:c>
      <x:c r="E5" s="2" t="s">
        <x:v>4</x:v>
      </x:c>
    </x:row>
    <x:row r="6" ht="33.95000076293945" customHeight="1">
      <x:c r="A6" s="4" t="str">
        <x:v>AbsenceFolder</x:v>
      </x:c>
      <x:c r="B6" s="33" t="str">
        <x:v>C:\Users\wldbs\OneDrive\바탕화면\Works\project6\02_source_data\raw\absence</x:v>
      </x:c>
      <x:c r="D6" s="3" t="s">
        <x:v>5</x:v>
      </x:c>
      <x:c r="E6" s="8" t="n">
        <x:f>ROWS(tblParameters[ParameterName])</x:f>
        <x:v>6</x:v>
      </x:c>
    </x:row>
    <x:row r="7" ht="33.95000076293945" customHeight="1">
      <x:c r="A7" s="4" t="str">
        <x:v>ActivityFolder</x:v>
      </x:c>
      <x:c r="B7" s="33" t="str">
        <x:v>C:\Users\wldbs\OneDrive\바탕화면\Works\project6\02_source_data\raw\service_activity</x:v>
      </x:c>
      <x:c r="D7" s="4" t="s">
        <x:v>6</x:v>
      </x:c>
      <x:c r="E7" s="9" t="n">
        <x:f>COUNTBLANK(tblParameters[ParameterValue])</x:f>
        <x:v>0</x:v>
      </x:c>
    </x:row>
    <x:row r="8" ht="33.95000076293945" customHeight="1">
      <x:c r="A8" s="4" t="str">
        <x:v>ReferenceFolder</x:v>
      </x:c>
      <x:c r="B8" s="34" t="str">
        <x:v>C:\Users\wldbs\OneDrive\바탕화면\Works\project6\02_source_data\reference</x:v>
      </x:c>
      <x:c r="D8" s="4" t="s">
        <x:v>7</x:v>
      </x:c>
      <x:c r="E8" s="9" t="str">
        <x:f>IF(B9&lt;=B10,"OK","CHECK")</x:f>
        <x:v>OK</x:v>
      </x:c>
    </x:row>
    <x:row r="9" ht="38.099998474121094" customHeight="1">
      <x:c r="A9" s="4" t="str">
        <x:v>ReportingStartMonth</x:v>
      </x:c>
      <x:c r="B9" s="35" t="n">
        <x:v>45383</x:v>
      </x:c>
    </x:row>
    <x:row r="10">
      <x:c r="A10" t="str">
        <x:v>ReportingEndMonth</x:v>
      </x:c>
      <x:c r="B10" s="36" t="n">
        <x:v>45717</x:v>
      </x:c>
    </x:row>
    <x:row r="12" ht="15">
      <x:c r="A12" s="15" t="s">
        <x:v>8</x:v>
      </x:c>
      <x:c r="B12" s="15"/>
      <x:c r="C12" s="15"/>
      <x:c r="D12" s="15"/>
      <x:c r="E12" s="15"/>
      <x:c r="F12" s="15"/>
    </x:row>
    <x:row r="13">
      <x:c r="A13" s="16" t="s">
        <x:v>9</x:v>
      </x:c>
      <x:c r="B13" s="17"/>
      <x:c r="C13" s="17"/>
      <x:c r="D13" s="17"/>
      <x:c r="E13" s="17"/>
      <x:c r="F13" s="18"/>
    </x:row>
    <x:row r="14">
      <x:c r="A14" s="19"/>
      <x:c r="B14" s="20"/>
      <x:c r="C14" s="20"/>
      <x:c r="D14" s="20"/>
      <x:c r="E14" s="20"/>
      <x:c r="F14" s="21"/>
    </x:row>
    <x:row r="15">
      <x:c r="A15" s="19"/>
      <x:c r="B15" s="20"/>
      <x:c r="C15" s="20"/>
      <x:c r="D15" s="20"/>
      <x:c r="E15" s="20"/>
      <x:c r="F15" s="21"/>
    </x:row>
    <x:row r="16">
      <x:c r="A16" s="22"/>
      <x:c r="B16" s="23"/>
      <x:c r="C16" s="23"/>
      <x:c r="D16" s="23"/>
      <x:c r="E16" s="23"/>
      <x:c r="F16" s="24"/>
    </x:row>
  </x:sheetData>
  <x:mergeCells>
    <x:mergeCell ref="A1:F1"/>
    <x:mergeCell ref="A2:F2"/>
    <x:mergeCell ref="D4:F4"/>
    <x:mergeCell ref="A12:F12"/>
    <x:mergeCell ref="A13:F16"/>
  </x:mergeCells>
  <x:pageMargins left="0.7" right="0.7" top="0.75" bottom="0.75" header="0.3" footer="0.3"/>
  <x:tableParts count="1">
    <x:tablePart xmlns:r="http://schemas.openxmlformats.org/officeDocument/2006/relationships" r:id="R77785a0083e249a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35" customWidth="1"/>
    <x:col min="3" max="3" width="72" customWidth="1"/>
    <x:col min="4" max="4" width="66" customWidth="1"/>
    <x:col min="5" max="5" width="34" customWidth="1"/>
  </x:cols>
  <x:sheetData>
    <x:row r="1" ht="30.950000762939453" customHeight="1">
      <x:c r="A1" s="13" t="s">
        <x:v>10</x:v>
      </x:c>
      <x:c r="B1" s="13"/>
      <x:c r="C1" s="13"/>
      <x:c r="D1" s="13"/>
      <x:c r="E1" s="13"/>
    </x:row>
    <x:row r="2" ht="33.95000076293945" customHeight="1">
      <x:c r="A2" s="14" t="s">
        <x:v>11</x:v>
      </x:c>
      <x:c r="B2" s="14"/>
      <x:c r="C2" s="14"/>
      <x:c r="D2" s="14"/>
      <x:c r="E2" s="14"/>
    </x:row>
    <x:row r="5" ht="14.25" hidden="0" customHeight="1">
      <x:c r="A5" s="10" t="str">
        <x:v>Step</x:v>
      </x:c>
      <x:c r="B5" s="11" t="str">
        <x:v>Stage</x:v>
      </x:c>
      <x:c r="C5" s="11" t="str">
        <x:v>Action</x:v>
      </x:c>
      <x:c r="D5" s="11" t="str">
        <x:v>Expected result</x:v>
      </x:c>
      <x:c r="E5" s="12" t="str">
        <x:v>Load or cadence</x:v>
      </x:c>
    </x:row>
    <x:row r="6" ht="14.25" hidden="0" customHeight="1">
      <x:c r="A6" s="3" t="n">
        <x:v>1</x:v>
      </x:c>
      <x:c r="B6" s="3" t="str">
        <x:v>Prepare workforce source</x:v>
      </x:c>
      <x:c r="C6" s="3" t="str">
        <x:v>Run prepare_workforce_extract.ps1.</x:v>
      </x:c>
      <x:c r="D6" s="3" t="str">
        <x:v>The reproducible workforce CSV and hash manifest exist.</x:v>
      </x:c>
      <x:c r="E6" s="3" t="str">
        <x:v>Before first refresh</x:v>
      </x:c>
    </x:row>
    <x:row r="7" ht="14.25" hidden="0" customHeight="1">
      <x:c r="A7" s="4" t="n">
        <x:v>2</x:v>
      </x:c>
      <x:c r="B7" s="4" t="str">
        <x:v>Review parameters</x:v>
      </x:c>
      <x:c r="C7" s="4" t="str">
        <x:v>Confirm four folder paths and two reporting-month values.</x:v>
      </x:c>
      <x:c r="D7" s="4" t="str">
        <x:v>All six parameter values are correct.</x:v>
      </x:c>
      <x:c r="E7" s="4" t="str">
        <x:v>After moving or cloning</x:v>
      </x:c>
    </x:row>
    <x:row r="8" ht="14.25" hidden="0" customHeight="1">
      <x:c r="A8" s="4" t="n">
        <x:v>3</x:v>
      </x:c>
      <x:c r="B8" s="4" t="str">
        <x:v>Create parameters and helpers</x:v>
      </x:c>
      <x:c r="C8" s="4" t="str">
        <x:v>Create queries 1-13 in catalogue order.</x:v>
      </x:c>
      <x:c r="D8" s="4" t="str">
        <x:v>Parameters, parsers and file-version function preview without errors.</x:v>
      </x:c>
      <x:c r="E8" s="4" t="str">
        <x:v>Connection only</x:v>
      </x:c>
    </x:row>
    <x:row r="9" ht="14.25" hidden="0" customHeight="1">
      <x:c r="A9" s="4" t="n">
        <x:v>4</x:v>
      </x:c>
      <x:c r="B9" s="4" t="str">
        <x:v>Create transform functions</x:v>
      </x:c>
      <x:c r="C9" s="4" t="str">
        <x:v>Create queries 14-16.</x:v>
      </x:c>
      <x:c r="D9" s="4" t="str">
        <x:v>Each transform accepts file binary, filename and load timestamp.</x:v>
      </x:c>
      <x:c r="E9" s="4" t="str">
        <x:v>Connection only</x:v>
      </x:c>
    </x:row>
    <x:row r="10" ht="14.25" hidden="0" customHeight="1">
      <x:c r="A10" s="4" t="n">
        <x:v>5</x:v>
      </x:c>
      <x:c r="B10" s="4" t="str">
        <x:v>Create reference and staging</x:v>
      </x:c>
      <x:c r="C10" s="4" t="str">
        <x:v>Create queries 17-20.</x:v>
      </x:c>
      <x:c r="D10" s="4" t="str">
        <x:v>The organisation dimension loads and active files retain extended provenance.</x:v>
      </x:c>
      <x:c r="E10" s="4" t="str">
        <x:v>Connection only</x:v>
      </x:c>
    </x:row>
    <x:row r="11" ht="14.25" hidden="0" customHeight="1">
      <x:c r="A11" s="4" t="n">
        <x:v>6</x:v>
      </x:c>
      <x:c r="B11" s="4" t="str">
        <x:v>Create DQ classification</x:v>
      </x:c>
      <x:c r="C11" s="4" t="str">
        <x:v>Create queries 21-23.</x:v>
      </x:c>
      <x:c r="D11" s="4" t="str">
        <x:v>Duplicate, reference and organisation-name controls apply three statuses.</x:v>
      </x:c>
      <x:c r="E11" s="4" t="str">
        <x:v>Connection only</x:v>
      </x:c>
    </x:row>
    <x:row r="12" ht="14.25" hidden="0" customHeight="1">
      <x:c r="A12" s="4" t="n">
        <x:v>7</x:v>
      </x:c>
      <x:c r="B12" s="4" t="str">
        <x:v>Create clean outputs</x:v>
      </x:c>
      <x:c r="C12" s="4" t="str">
        <x:v>Create queries 24-26.</x:v>
      </x:c>
      <x:c r="D12" s="4" t="str">
        <x:v>Only Accepted rows in the approved London cohort remain.</x:v>
      </x:c>
      <x:c r="E12" s="4" t="str">
        <x:v>Data Model or preview</x:v>
      </x:c>
    </x:row>
    <x:row r="13" ht="14.25" hidden="0" customHeight="1">
      <x:c r="A13" s="4" t="n">
        <x:v>8</x:v>
      </x:c>
      <x:c r="B13" s="4" t="str">
        <x:v>Create control outputs</x:v>
      </x:c>
      <x:c r="C13" s="4" t="str">
        <x:v>Create queries 27-31.</x:v>
      </x:c>
      <x:c r="D13" s="4" t="str">
        <x:v>Exception, file-version, status and reconciliation outputs are available.</x:v>
      </x:c>
      <x:c r="E13" s="4" t="str">
        <x:v>Worksheet tables</x:v>
      </x:c>
    </x:row>
    <x:row r="14" ht="14.25" hidden="0" customHeight="1">
      <x:c r="A14" s="4" t="n">
        <x:v>9</x:v>
      </x:c>
      <x:c r="B14" s="4" t="str">
        <x:v>Review before publish</x:v>
      </x:c>
      <x:c r="C14" s="4" t="str">
        <x:v>Resolve Critical failures and document Review Required rows.</x:v>
      </x:c>
      <x:c r="D14" s="4" t="str">
        <x:v>Raw = status totals; Accepted = Reportable + documented scope exclusions.</x:v>
      </x:c>
      <x:c r="E14" s="4" t="str">
        <x:v>Every refresh</x:v>
      </x:c>
    </x:row>
  </x:sheetData>
  <x:mergeCells>
    <x:mergeCell ref="A1:E1"/>
    <x:mergeCell ref="A2:E2"/>
  </x:mergeCells>
  <x:conditionalFormatting sqref="E6:E13">
    <x:cfRule type="containsText" dxfId="10" priority="1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e60c202e64714a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42" customWidth="1"/>
    <x:col min="3" max="3" width="26" customWidth="1"/>
    <x:col min="4" max="4" width="47" customWidth="1"/>
    <x:col min="5" max="5" width="40" customWidth="1"/>
    <x:col min="6" max="6" width="36" customWidth="1"/>
    <x:col min="7" max="7" width="58" customWidth="1"/>
  </x:cols>
  <x:sheetData>
    <x:row r="1" ht="30.950000762939453" customHeight="1">
      <x:c r="A1" s="13" t="s">
        <x:v>12</x:v>
      </x:c>
      <x:c r="B1" s="13"/>
      <x:c r="C1" s="13"/>
      <x:c r="D1" s="13"/>
      <x:c r="E1" s="13"/>
      <x:c r="F1" s="13"/>
      <x:c r="G1" s="13"/>
    </x:row>
    <x:row r="2" ht="33.95000076293945" customHeight="1">
      <x:c r="A2" s="14" t="s">
        <x:v>13</x:v>
      </x:c>
      <x:c r="B2" s="14"/>
      <x:c r="C2" s="14"/>
      <x:c r="D2" s="14"/>
      <x:c r="E2" s="14"/>
      <x:c r="F2" s="14"/>
      <x:c r="G2" s="14"/>
    </x:row>
    <x:row r="5" ht="14.25" hidden="0" customHeight="1">
      <x:c r="A5" s="10" t="str">
        <x:v>Order</x:v>
      </x:c>
      <x:c r="B5" s="11" t="str">
        <x:v>Query name</x:v>
      </x:c>
      <x:c r="C5" s="11" t="str">
        <x:v>Type</x:v>
      </x:c>
      <x:c r="D5" s="11" t="str">
        <x:v>M file</x:v>
      </x:c>
      <x:c r="E5" s="11" t="str">
        <x:v>Depends on</x:v>
      </x:c>
      <x:c r="F5" s="11" t="str">
        <x:v>Recommended load</x:v>
      </x:c>
      <x:c r="G5" s="12" t="str">
        <x:v>Output or purpose</x:v>
      </x:c>
    </x:row>
    <x:row r="6" ht="14.25" hidden="0" customHeight="1">
      <x:c r="A6" s="3" t="n">
        <x:v>1</x:v>
      </x:c>
      <x:c r="B6" s="3" t="str">
        <x:v>fnGetParameter</x:v>
      </x:c>
      <x:c r="C6" s="3" t="str">
        <x:v>Function</x:v>
      </x:c>
      <x:c r="D6" s="3" t="str">
        <x:v>m/00_fnGetParameter.pq</x:v>
      </x:c>
      <x:c r="E6" s="3" t="str">
        <x:v>tblParameters</x:v>
      </x:c>
      <x:c r="F6" s="3" t="str">
        <x:v>Connection only</x:v>
      </x:c>
      <x:c r="G6" s="3" t="str">
        <x:v>Returns exactly one named parameter value</x:v>
      </x:c>
    </x:row>
    <x:row r="7" ht="14.25" hidden="0" customHeight="1">
      <x:c r="A7" s="4" t="n">
        <x:v>2</x:v>
      </x:c>
      <x:c r="B7" s="4" t="str">
        <x:v>pWorkforceFolder</x:v>
      </x:c>
      <x:c r="C7" s="4" t="str">
        <x:v>Parameter query</x:v>
      </x:c>
      <x:c r="D7" s="4" t="str">
        <x:v>m/01_pWorkforceFolder.pq</x:v>
      </x:c>
      <x:c r="E7" s="4" t="str">
        <x:v>fnGetParameter</x:v>
      </x:c>
      <x:c r="F7" s="4" t="str">
        <x:v>Connection only</x:v>
      </x:c>
      <x:c r="G7" s="4" t="str">
        <x:v>Workforce staging folder</x:v>
      </x:c>
    </x:row>
    <x:row r="8" ht="14.25" hidden="0" customHeight="1">
      <x:c r="A8" s="4" t="n">
        <x:v>3</x:v>
      </x:c>
      <x:c r="B8" s="4" t="str">
        <x:v>pAbsenceFolder</x:v>
      </x:c>
      <x:c r="C8" s="4" t="str">
        <x:v>Parameter query</x:v>
      </x:c>
      <x:c r="D8" s="4" t="str">
        <x:v>m/02_pAbsenceFolder.pq</x:v>
      </x:c>
      <x:c r="E8" s="4" t="str">
        <x:v>fnGetParameter</x:v>
      </x:c>
      <x:c r="F8" s="4" t="str">
        <x:v>Connection only</x:v>
      </x:c>
      <x:c r="G8" s="4" t="str">
        <x:v>Absence raw folder</x:v>
      </x:c>
    </x:row>
    <x:row r="9" ht="14.25" hidden="0" customHeight="1">
      <x:c r="A9" s="4" t="n">
        <x:v>4</x:v>
      </x:c>
      <x:c r="B9" s="4" t="str">
        <x:v>pActivityFolder</x:v>
      </x:c>
      <x:c r="C9" s="4" t="str">
        <x:v>Parameter query</x:v>
      </x:c>
      <x:c r="D9" s="4" t="str">
        <x:v>m/03_pActivityFolder.pq</x:v>
      </x:c>
      <x:c r="E9" s="4" t="str">
        <x:v>fnGetParameter</x:v>
      </x:c>
      <x:c r="F9" s="4" t="str">
        <x:v>Connection only</x:v>
      </x:c>
      <x:c r="G9" s="4" t="str">
        <x:v>A&amp;E raw folder</x:v>
      </x:c>
    </x:row>
    <x:row r="10" ht="14.25" hidden="0" customHeight="1">
      <x:c r="A10" s="4" t="n">
        <x:v>5</x:v>
      </x:c>
      <x:c r="B10" s="4" t="str">
        <x:v>pReportingStartMonth</x:v>
      </x:c>
      <x:c r="C10" s="4" t="str">
        <x:v>Parameter query</x:v>
      </x:c>
      <x:c r="D10" s="4" t="str">
        <x:v>m/04_pReportingStartMonth.pq</x:v>
      </x:c>
      <x:c r="E10" s="4" t="str">
        <x:v>fnGetParameter</x:v>
      </x:c>
      <x:c r="F10" s="4" t="str">
        <x:v>Connection only</x:v>
      </x:c>
      <x:c r="G10" s="4" t="str">
        <x:v>First included reporting month</x:v>
      </x:c>
    </x:row>
    <x:row r="11" ht="14.25" hidden="0" customHeight="1">
      <x:c r="A11" s="4" t="n">
        <x:v>6</x:v>
      </x:c>
      <x:c r="B11" s="4" t="str">
        <x:v>pReportingEndMonth</x:v>
      </x:c>
      <x:c r="C11" s="4" t="str">
        <x:v>Parameter query</x:v>
      </x:c>
      <x:c r="D11" s="4" t="str">
        <x:v>m/05_pReportingEndMonth.pq</x:v>
      </x:c>
      <x:c r="E11" s="4" t="str">
        <x:v>fnGetParameter</x:v>
      </x:c>
      <x:c r="F11" s="4" t="str">
        <x:v>Connection only</x:v>
      </x:c>
      <x:c r="G11" s="4" t="str">
        <x:v>Last included reporting month</x:v>
      </x:c>
    </x:row>
    <x:row r="12" ht="14.25" hidden="0" customHeight="1">
      <x:c r="A12" s="4" t="n">
        <x:v>7</x:v>
      </x:c>
      <x:c r="B12" s="4" t="str">
        <x:v>pReferenceFolder</x:v>
      </x:c>
      <x:c r="C12" s="4" t="str">
        <x:v>Parameter query</x:v>
      </x:c>
      <x:c r="D12" s="4" t="str">
        <x:v>m/06_pReferenceFolder.pq</x:v>
      </x:c>
      <x:c r="E12" s="4" t="str">
        <x:v>fnGetParameter</x:v>
      </x:c>
      <x:c r="F12" s="4" t="str">
        <x:v>Connection only</x:v>
      </x:c>
      <x:c r="G12" s="4" t="str">
        <x:v>Controlled reference folder</x:v>
      </x:c>
    </x:row>
    <x:row r="13" ht="14.25" hidden="0" customHeight="1">
      <x:c r="A13" s="4" t="n">
        <x:v>8</x:v>
      </x:c>
      <x:c r="B13" s="4" t="str">
        <x:v>fnCleanOrganisationCode</x:v>
      </x:c>
      <x:c r="C13" s="4" t="str">
        <x:v>Function</x:v>
      </x:c>
      <x:c r="D13" s="4" t="str">
        <x:v>m/10_fnCleanOrganisationCode.pq</x:v>
      </x:c>
      <x:c r="E13" s="4" t="str">
        <x:v>None</x:v>
      </x:c>
      <x:c r="F13" s="4" t="str">
        <x:v>Connection only</x:v>
      </x:c>
      <x:c r="G13" s="4" t="str">
        <x:v>Trim, clean and uppercase organisation codes</x:v>
      </x:c>
    </x:row>
    <x:row r="14" ht="14.25" hidden="0" customHeight="1">
      <x:c r="A14" s="4" t="n">
        <x:v>9</x:v>
      </x:c>
      <x:c r="B14" s="4" t="str">
        <x:v>fnParseDate</x:v>
      </x:c>
      <x:c r="C14" s="4" t="str">
        <x:v>Function</x:v>
      </x:c>
      <x:c r="D14" s="4" t="str">
        <x:v>m/11_fnParseDate.pq</x:v>
      </x:c>
      <x:c r="E14" s="4" t="str">
        <x:v>None</x:v>
      </x:c>
      <x:c r="F14" s="4" t="str">
        <x:v>Connection only</x:v>
      </x:c>
      <x:c r="G14" s="4" t="str">
        <x:v>Safe British and ISO date parsing</x:v>
      </x:c>
    </x:row>
    <x:row r="15" ht="14.25" hidden="0" customHeight="1">
      <x:c r="A15" s="4" t="n">
        <x:v>10</x:v>
      </x:c>
      <x:c r="B15" s="4" t="str">
        <x:v>fnParseNumber</x:v>
      </x:c>
      <x:c r="C15" s="4" t="str">
        <x:v>Function</x:v>
      </x:c>
      <x:c r="D15" s="4" t="str">
        <x:v>m/12_fnParseNumber.pq</x:v>
      </x:c>
      <x:c r="E15" s="4" t="str">
        <x:v>None</x:v>
      </x:c>
      <x:c r="F15" s="4" t="str">
        <x:v>Connection only</x:v>
      </x:c>
      <x:c r="G15" s="4" t="str">
        <x:v>Safe numeric parsing</x:v>
      </x:c>
    </x:row>
    <x:row r="16" ht="14.25" hidden="0" customHeight="1">
      <x:c r="A16" s="4" t="n">
        <x:v>11</x:v>
      </x:c>
      <x:c r="B16" s="4" t="str">
        <x:v>fnMonthFromFileName</x:v>
      </x:c>
      <x:c r="C16" s="4" t="str">
        <x:v>Function</x:v>
      </x:c>
      <x:c r="D16" s="4" t="str">
        <x:v>m/13_fnMonthFromFileName.pq</x:v>
      </x:c>
      <x:c r="E16" s="4" t="str">
        <x:v>None</x:v>
      </x:c>
      <x:c r="F16" s="4" t="str">
        <x:v>Connection only</x:v>
      </x:c>
      <x:c r="G16" s="4" t="str">
        <x:v>Parses a YYYY-MM token including revised filenames</x:v>
      </x:c>
    </x:row>
    <x:row r="17" ht="14.25" hidden="0" customHeight="1">
      <x:c r="A17" s="4" t="n">
        <x:v>12</x:v>
      </x:c>
      <x:c r="B17" s="4" t="str">
        <x:v>fnMonthFromAEPeriod</x:v>
      </x:c>
      <x:c r="C17" s="4" t="str">
        <x:v>Function</x:v>
      </x:c>
      <x:c r="D17" s="4" t="str">
        <x:v>m/14_fnMonthFromAEPeriod.pq</x:v>
      </x:c>
      <x:c r="E17" s="4" t="str">
        <x:v>None</x:v>
      </x:c>
      <x:c r="F17" s="4" t="str">
        <x:v>Connection only</x:v>
      </x:c>
      <x:c r="G17" s="4" t="str">
        <x:v>Parses official MSitAE-MONTH-YYYY values</x:v>
      </x:c>
    </x:row>
    <x:row r="18" ht="14.25" hidden="0" customHeight="1">
      <x:c r="A18" s="4" t="n">
        <x:v>13</x:v>
      </x:c>
      <x:c r="B18" s="4" t="str">
        <x:v>fnGetSourceFiles</x:v>
      </x:c>
      <x:c r="C18" s="4" t="str">
        <x:v>Function</x:v>
      </x:c>
      <x:c r="D18" s="4" t="str">
        <x:v>m/15_fnGetSourceFiles.pq</x:v>
      </x:c>
      <x:c r="E18" s="4" t="str">
        <x:v>Folder parameters and filename parser</x:v>
      </x:c>
      <x:c r="F18" s="4" t="str">
        <x:v>Connection only</x:v>
      </x:c>
      <x:c r="G18" s="4" t="str">
        <x:v>Selects active file and classifies older versions</x:v>
      </x:c>
    </x:row>
    <x:row r="19" ht="14.25" hidden="0" customHeight="1">
      <x:c r="A19" s="4" t="n">
        <x:v>14</x:v>
      </x:c>
      <x:c r="B19" s="4" t="str">
        <x:v>fnTransformWorkforceFile</x:v>
      </x:c>
      <x:c r="C19" s="4" t="str">
        <x:v>Transform function</x:v>
      </x:c>
      <x:c r="D19" s="4" t="str">
        <x:v>m/20_fnTransformWorkforceFile.pq</x:v>
      </x:c>
      <x:c r="E19" s="4" t="str">
        <x:v>Parameters and helpers</x:v>
      </x:c>
      <x:c r="F19" s="4" t="str">
        <x:v>Connection only</x:v>
      </x:c>
      <x:c r="G19" s="4" t="str">
        <x:v>Standardised in-scope workforce rows</x:v>
      </x:c>
    </x:row>
    <x:row r="20" ht="14.25" hidden="0" customHeight="1">
      <x:c r="A20" s="4" t="n">
        <x:v>15</x:v>
      </x:c>
      <x:c r="B20" s="4" t="str">
        <x:v>fnTransformAbsenceFile</x:v>
      </x:c>
      <x:c r="C20" s="4" t="str">
        <x:v>Transform function</x:v>
      </x:c>
      <x:c r="D20" s="4" t="str">
        <x:v>m/21_fnTransformAbsenceFile.pq</x:v>
      </x:c>
      <x:c r="E20" s="4" t="str">
        <x:v>Parameters and helpers</x:v>
      </x:c>
      <x:c r="F20" s="4" t="str">
        <x:v>Connection only</x:v>
      </x:c>
      <x:c r="G20" s="4" t="str">
        <x:v>Standardised absence rows</x:v>
      </x:c>
    </x:row>
    <x:row r="21" ht="14.25" hidden="0" customHeight="1">
      <x:c r="A21" s="4" t="n">
        <x:v>16</x:v>
      </x:c>
      <x:c r="B21" s="4" t="str">
        <x:v>fnTransformActivityFile</x:v>
      </x:c>
      <x:c r="C21" s="4" t="str">
        <x:v>Transform function</x:v>
      </x:c>
      <x:c r="D21" s="4" t="str">
        <x:v>m/22_fnTransformActivityFile.pq</x:v>
      </x:c>
      <x:c r="E21" s="4" t="str">
        <x:v>Parameters and helpers</x:v>
      </x:c>
      <x:c r="F21" s="4" t="str">
        <x:v>Connection only</x:v>
      </x:c>
      <x:c r="G21" s="4" t="str">
        <x:v>Standardised A&amp;E rows</x:v>
      </x:c>
    </x:row>
    <x:row r="22" ht="14.25" hidden="0" customHeight="1">
      <x:c r="A22" s="4" t="n">
        <x:v>17</x:v>
      </x:c>
      <x:c r="B22" s="4" t="str">
        <x:v>dimOrganisation</x:v>
      </x:c>
      <x:c r="C22" s="4" t="str">
        <x:v>Reference dimension</x:v>
      </x:c>
      <x:c r="D22" s="4" t="str">
        <x:v>m/53_dimOrganisation.pq</x:v>
      </x:c>
      <x:c r="E22" s="4" t="str">
        <x:v>Reference folder and helpers</x:v>
      </x:c>
      <x:c r="F22" s="4" t="str">
        <x:v>Data Model or preview</x:v>
      </x:c>
      <x:c r="G22" s="4" t="str">
        <x:v>Stable 148-code reference and London cohort</x:v>
      </x:c>
    </x:row>
    <x:row r="23" ht="14.25" hidden="0" customHeight="1">
      <x:c r="A23" s="4" t="n">
        <x:v>18</x:v>
      </x:c>
      <x:c r="B23" s="4" t="str">
        <x:v>stgWorkforceFiles</x:v>
      </x:c>
      <x:c r="C23" s="4" t="str">
        <x:v>Folder staging</x:v>
      </x:c>
      <x:c r="D23" s="4" t="str">
        <x:v>m/30_stgWorkforceFiles.pq</x:v>
      </x:c>
      <x:c r="E23" s="4" t="str">
        <x:v>File selector and workforce transform</x:v>
      </x:c>
      <x:c r="F23" s="4" t="str">
        <x:v>Connection only</x:v>
      </x:c>
      <x:c r="G23" s="4" t="str">
        <x:v>Active staged workforce rows</x:v>
      </x:c>
    </x:row>
    <x:row r="24" ht="14.25" hidden="0" customHeight="1">
      <x:c r="A24" s="4" t="n">
        <x:v>19</x:v>
      </x:c>
      <x:c r="B24" s="4" t="str">
        <x:v>stgAbsenceFiles</x:v>
      </x:c>
      <x:c r="C24" s="4" t="str">
        <x:v>Folder staging</x:v>
      </x:c>
      <x:c r="D24" s="4" t="str">
        <x:v>m/31_stgAbsenceFiles.pq</x:v>
      </x:c>
      <x:c r="E24" s="4" t="str">
        <x:v>File selector and absence transform</x:v>
      </x:c>
      <x:c r="F24" s="4" t="str">
        <x:v>Connection only</x:v>
      </x:c>
      <x:c r="G24" s="4" t="str">
        <x:v>Active staged absence rows</x:v>
      </x:c>
    </x:row>
    <x:row r="25" ht="14.25" hidden="0" customHeight="1">
      <x:c r="A25" s="4" t="n">
        <x:v>20</x:v>
      </x:c>
      <x:c r="B25" s="4" t="str">
        <x:v>stgServiceFiles</x:v>
      </x:c>
      <x:c r="C25" s="4" t="str">
        <x:v>Folder staging</x:v>
      </x:c>
      <x:c r="D25" s="4" t="str">
        <x:v>m/32_stgServiceFiles.pq</x:v>
      </x:c>
      <x:c r="E25" s="4" t="str">
        <x:v>File selector and A&amp;E transform</x:v>
      </x:c>
      <x:c r="F25" s="4" t="str">
        <x:v>Connection only</x:v>
      </x:c>
      <x:c r="G25" s="4" t="str">
        <x:v>Active staged A&amp;E rows</x:v>
      </x:c>
    </x:row>
    <x:row r="26" ht="14.25" hidden="0" customHeight="1">
      <x:c r="A26" s="4" t="n">
        <x:v>21</x:v>
      </x:c>
      <x:c r="B26" s="4" t="str">
        <x:v>dqWorkforceClassified</x:v>
      </x:c>
      <x:c r="C26" s="4" t="str">
        <x:v>DQ classification</x:v>
      </x:c>
      <x:c r="D26" s="4" t="str">
        <x:v>m/60_dqWorkforceClassified.pq</x:v>
      </x:c>
      <x:c r="E26" s="4" t="str">
        <x:v>Staging and dimOrganisation</x:v>
      </x:c>
      <x:c r="F26" s="4" t="str">
        <x:v>Connection only</x:v>
      </x:c>
      <x:c r="G26" s="4" t="str">
        <x:v>Reference-aware workforce classification</x:v>
      </x:c>
    </x:row>
    <x:row r="27" ht="14.25" hidden="0" customHeight="1">
      <x:c r="A27" s="4" t="n">
        <x:v>22</x:v>
      </x:c>
      <x:c r="B27" s="4" t="str">
        <x:v>dqAbsenceClassified</x:v>
      </x:c>
      <x:c r="C27" s="4" t="str">
        <x:v>DQ classification</x:v>
      </x:c>
      <x:c r="D27" s="4" t="str">
        <x:v>m/61_dqAbsenceClassified.pq</x:v>
      </x:c>
      <x:c r="E27" s="4" t="str">
        <x:v>Staging and dimOrganisation</x:v>
      </x:c>
      <x:c r="F27" s="4" t="str">
        <x:v>Connection only</x:v>
      </x:c>
      <x:c r="G27" s="4" t="str">
        <x:v>Reference-aware absence classification</x:v>
      </x:c>
    </x:row>
    <x:row r="28" ht="14.25" hidden="0" customHeight="1">
      <x:c r="A28" s="4" t="n">
        <x:v>23</x:v>
      </x:c>
      <x:c r="B28" s="4" t="str">
        <x:v>dqServiceActivityClassified</x:v>
      </x:c>
      <x:c r="C28" s="4" t="str">
        <x:v>DQ classification</x:v>
      </x:c>
      <x:c r="D28" s="4" t="str">
        <x:v>m/62_dqServiceActivityClassified.pq</x:v>
      </x:c>
      <x:c r="E28" s="4" t="str">
        <x:v>Staging and dimOrganisation</x:v>
      </x:c>
      <x:c r="F28" s="4" t="str">
        <x:v>Connection only</x:v>
      </x:c>
      <x:c r="G28" s="4" t="str">
        <x:v>Reference-aware provider classification</x:v>
      </x:c>
    </x:row>
    <x:row r="29" ht="14.25" hidden="0" customHeight="1">
      <x:c r="A29" s="4" t="n">
        <x:v>24</x:v>
      </x:c>
      <x:c r="B29" s="4" t="str">
        <x:v>qryWorkforceClean</x:v>
      </x:c>
      <x:c r="C29" s="4" t="str">
        <x:v>Clean output</x:v>
      </x:c>
      <x:c r="D29" s="4" t="str">
        <x:v>m/40_qryWorkforceClean.pq</x:v>
      </x:c>
      <x:c r="E29" s="4" t="str">
        <x:v>dqWorkforceClassified</x:v>
      </x:c>
      <x:c r="F29" s="4" t="str">
        <x:v>Data Model or preview</x:v>
      </x:c>
      <x:c r="G29" s="4" t="str">
        <x:v>Accepted London-cohort workforce rows</x:v>
      </x:c>
    </x:row>
    <x:row r="30" ht="14.25" hidden="0" customHeight="1">
      <x:c r="A30" s="4" t="n">
        <x:v>25</x:v>
      </x:c>
      <x:c r="B30" s="4" t="str">
        <x:v>qryAbsenceClean</x:v>
      </x:c>
      <x:c r="C30" s="4" t="str">
        <x:v>Clean output</x:v>
      </x:c>
      <x:c r="D30" s="4" t="str">
        <x:v>m/41_qryAbsenceClean.pq</x:v>
      </x:c>
      <x:c r="E30" s="4" t="str">
        <x:v>dqAbsenceClassified</x:v>
      </x:c>
      <x:c r="F30" s="4" t="str">
        <x:v>Data Model or preview</x:v>
      </x:c>
      <x:c r="G30" s="4" t="str">
        <x:v>Accepted London-cohort absence rows</x:v>
      </x:c>
    </x:row>
    <x:row r="31" ht="14.25" hidden="0" customHeight="1">
      <x:c r="A31" s="4" t="n">
        <x:v>26</x:v>
      </x:c>
      <x:c r="B31" s="4" t="str">
        <x:v>qryServiceActivityClean</x:v>
      </x:c>
      <x:c r="C31" s="4" t="str">
        <x:v>Clean output</x:v>
      </x:c>
      <x:c r="D31" s="4" t="str">
        <x:v>m/42_qryServiceActivityClean.pq</x:v>
      </x:c>
      <x:c r="E31" s="4" t="str">
        <x:v>dqServiceActivityClassified</x:v>
      </x:c>
      <x:c r="F31" s="4" t="str">
        <x:v>Data Model or preview</x:v>
      </x:c>
      <x:c r="G31" s="4" t="str">
        <x:v>Accepted London-cohort A&amp;E rows</x:v>
      </x:c>
    </x:row>
    <x:row r="32" ht="14.25" hidden="0" customHeight="1">
      <x:c r="A32" s="4" t="n">
        <x:v>27</x:v>
      </x:c>
      <x:c r="B32" s="4" t="str">
        <x:v>qryPowerQueryExceptions</x:v>
      </x:c>
      <x:c r="C32" s="4" t="str">
        <x:v>Control output</x:v>
      </x:c>
      <x:c r="D32" s="4" t="str">
        <x:v>m/50_qryPowerQueryExceptions.pq</x:v>
      </x:c>
      <x:c r="E32" s="4" t="str">
        <x:v>Three classified queries</x:v>
      </x:c>
      <x:c r="F32" s="4" t="str">
        <x:v>Worksheet table</x:v>
      </x:c>
      <x:c r="G32" s="4" t="str">
        <x:v>Review Required and Rejected details</x:v>
      </x:c>
    </x:row>
    <x:row r="33" ht="14.25" hidden="0" customHeight="1">
      <x:c r="A33" t="n">
        <x:v>28</x:v>
      </x:c>
      <x:c r="B33" t="str">
        <x:v>qryPowerQueryRefreshSummary</x:v>
      </x:c>
      <x:c r="C33" t="str">
        <x:v>Control output</x:v>
      </x:c>
      <x:c r="D33" t="str">
        <x:v>m/51_qryPowerQueryRefreshSummary.pq</x:v>
      </x:c>
      <x:c r="E33" t="str">
        <x:v>Three classified queries</x:v>
      </x:c>
      <x:c r="F33" t="str">
        <x:v>Worksheet table</x:v>
      </x:c>
      <x:c r="G33" t="str">
        <x:v>Counts by active file, month and status</x:v>
      </x:c>
    </x:row>
    <x:row r="34" ht="14.25" hidden="0" customHeight="1">
      <x:c r="A34" t="n">
        <x:v>29</x:v>
      </x:c>
      <x:c r="B34" t="str">
        <x:v>qrySourceFileRegister</x:v>
      </x:c>
      <x:c r="C34" t="str">
        <x:v>Control output</x:v>
      </x:c>
      <x:c r="D34" t="str">
        <x:v>m/52_qrySourceFileRegister.pq</x:v>
      </x:c>
      <x:c r="E34" t="str">
        <x:v>fnGetSourceFiles and folder parameters</x:v>
      </x:c>
      <x:c r="F34" t="str">
        <x:v>Worksheet table</x:v>
      </x:c>
      <x:c r="G34" t="str">
        <x:v>Active, duplicate and revised file inventory</x:v>
      </x:c>
    </x:row>
    <x:row r="35" ht="14.25" hidden="0" customHeight="1">
      <x:c r="A35" t="n">
        <x:v>30</x:v>
      </x:c>
      <x:c r="B35" t="str">
        <x:v>qryDataQualityRuleResults</x:v>
      </x:c>
      <x:c r="C35" t="str">
        <x:v>DQ control output</x:v>
      </x:c>
      <x:c r="D35" t="str">
        <x:v>m/63_dqRuleResults.pq</x:v>
      </x:c>
      <x:c r="E35" t="str">
        <x:v>Three classified queries</x:v>
      </x:c>
      <x:c r="F35" t="str">
        <x:v>Worksheet table</x:v>
      </x:c>
      <x:c r="G35" t="str">
        <x:v>Data-quality status counts</x:v>
      </x:c>
    </x:row>
    <x:row r="36" ht="14.25" hidden="0" customHeight="1">
      <x:c r="A36" t="n">
        <x:v>31</x:v>
      </x:c>
      <x:c r="B36" t="str">
        <x:v>qryDataQualityReconciliation</x:v>
      </x:c>
      <x:c r="C36" t="str">
        <x:v>DQ control output</x:v>
      </x:c>
      <x:c r="D36" t="str">
        <x:v>m/64_dqReconciliation.pq</x:v>
      </x:c>
      <x:c r="E36" t="str">
        <x:v>Three classified queries</x:v>
      </x:c>
      <x:c r="F36" t="str">
        <x:v>Worksheet table</x:v>
      </x:c>
      <x:c r="G36" t="str">
        <x:v>Raw, accepted and reportable totals</x:v>
      </x:c>
    </x:row>
  </x:sheetData>
  <x:mergeCells>
    <x:mergeCell ref="A1:G1"/>
    <x:mergeCell ref="A2:G2"/>
  </x:mergeCells>
  <x:conditionalFormatting sqref="C6:C26">
    <x:cfRule type="containsText" dxfId="9" priority="1" operator="containsText" text="Function"/>
    <x:cfRule type="containsText" dxfId="8" priority="2" operator="containsText" text="staging"/>
    <x:cfRule type="containsText" dxfId="7" priority="3" operator="containsText" text="output"/>
  </x:conditionalFormatting>
  <x:pageMargins left="0.7" right="0.7" top="0.75" bottom="0.75" header="0.3" footer="0.3"/>
  <x:tableParts count="1">
    <x:tablePart xmlns:r="http://schemas.openxmlformats.org/officeDocument/2006/relationships" r:id="Rd15416fb3f6f496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38" customWidth="1"/>
    <x:col min="3" max="3" width="70" customWidth="1"/>
    <x:col min="4" max="4" width="57" customWidth="1"/>
    <x:col min="5" max="5" width="37" customWidth="1"/>
    <x:col min="6" max="6" width="22" customWidth="1"/>
  </x:cols>
  <x:sheetData>
    <x:row r="1" ht="30.950000762939453" customHeight="1">
      <x:c r="A1" s="13" t="s">
        <x:v>14</x:v>
      </x:c>
      <x:c r="B1" s="13"/>
      <x:c r="C1" s="13"/>
      <x:c r="D1" s="13"/>
      <x:c r="E1" s="13"/>
      <x:c r="F1" s="13"/>
    </x:row>
    <x:row r="2" ht="33.95000076293945" customHeight="1">
      <x:c r="A2" s="14" t="s">
        <x:v>15</x:v>
      </x:c>
      <x:c r="B2" s="14"/>
      <x:c r="C2" s="14"/>
      <x:c r="D2" s="14"/>
      <x:c r="E2" s="14"/>
      <x:c r="F2" s="14"/>
    </x:row>
    <x:row r="5" ht="14.25" hidden="0" customHeight="1">
      <x:c r="A5" s="10" t="str">
        <x:v>Dataset</x:v>
      </x:c>
      <x:c r="B5" s="11" t="str">
        <x:v>Control</x:v>
      </x:c>
      <x:c r="C5" s="11" t="str">
        <x:v>Rule</x:v>
      </x:c>
      <x:c r="D5" s="11" t="str">
        <x:v>Fields or evidence</x:v>
      </x:c>
      <x:c r="E5" s="11" t="str">
        <x:v>Record treatment</x:v>
      </x:c>
      <x:c r="F5" s="12" t="str">
        <x:v>Severity</x:v>
      </x:c>
    </x:row>
    <x:row r="6" ht="14.25" hidden="0" customHeight="1">
      <x:c r="A6" s="3" t="str">
        <x:v>All datasets</x:v>
      </x:c>
      <x:c r="B6" s="3" t="str">
        <x:v>Schema completeness</x:v>
      </x:c>
      <x:c r="C6" s="3" t="str">
        <x:v>Every required canonical column exists</x:v>
      </x:c>
      <x:c r="D6" s="3" t="str">
        <x:v>Expected minus actual columns</x:v>
      </x:c>
      <x:c r="E6" s="3" t="str">
        <x:v>Rejected</x:v>
      </x:c>
      <x:c r="F6" s="3" t="str">
        <x:v>Critical</x:v>
      </x:c>
    </x:row>
    <x:row r="7" ht="14.25" hidden="0" customHeight="1">
      <x:c r="A7" s="4" t="str">
        <x:v>All datasets</x:v>
      </x:c>
      <x:c r="B7" s="4" t="str">
        <x:v>Schema drift</x:v>
      </x:c>
      <x:c r="C7" s="4" t="str">
        <x:v>Non-blank unexpected fields require review; approved blank artifacts are projected out</x:v>
      </x:c>
      <x:c r="D7" s="4" t="str">
        <x:v>Unexpected columns and populated values</x:v>
      </x:c>
      <x:c r="E7" s="4" t="str">
        <x:v>Review Required or approved warning</x:v>
      </x:c>
      <x:c r="F7" s="4" t="str">
        <x:v>Medium</x:v>
      </x:c>
    </x:row>
    <x:row r="8" ht="14.25" hidden="0" customHeight="1">
      <x:c r="A8" s="4" t="str">
        <x:v>All datasets</x:v>
      </x:c>
      <x:c r="B8" s="4" t="str">
        <x:v>Organisation code</x:v>
      </x:c>
      <x:c r="C8" s="4" t="str">
        <x:v>Cleaned code is nonblank</x:v>
      </x:c>
      <x:c r="D8" s="4" t="str">
        <x:v>OrganisationCode</x:v>
      </x:c>
      <x:c r="E8" s="4" t="str">
        <x:v>Rejected</x:v>
      </x:c>
      <x:c r="F8" s="4" t="str">
        <x:v>Critical</x:v>
      </x:c>
    </x:row>
    <x:row r="9" ht="14.25" hidden="0" customHeight="1">
      <x:c r="A9" s="4" t="str">
        <x:v>All datasets</x:v>
      </x:c>
      <x:c r="B9" s="4" t="str">
        <x:v>Controlled reference</x:v>
      </x:c>
      <x:c r="C9" s="4" t="str">
        <x:v>Code exists in the stable organisation reference</x:v>
      </x:c>
      <x:c r="D9" s="4" t="str">
        <x:v>dimOrganisation match</x:v>
      </x:c>
      <x:c r="E9" s="4" t="str">
        <x:v>Review Required</x:v>
      </x:c>
      <x:c r="F9" s="4" t="str">
        <x:v>High</x:v>
      </x:c>
    </x:row>
    <x:row r="10" ht="14.25" hidden="0" customHeight="1">
      <x:c r="A10" s="4" t="str">
        <x:v>All datasets</x:v>
      </x:c>
      <x:c r="B10" s="4" t="str">
        <x:v>Reporting scope</x:v>
      </x:c>
      <x:c r="C10" s="4" t="str">
        <x:v>Only InclusionFlag = true reaches clean reporting outputs</x:v>
      </x:c>
      <x:c r="D10" s="4" t="str">
        <x:v>InclusionFlag and ReportingCohort</x:v>
      </x:c>
      <x:c r="E10" s="4" t="str">
        <x:v>Scope exclusion</x:v>
      </x:c>
      <x:c r="F10" s="4" t="str">
        <x:v>High</x:v>
      </x:c>
    </x:row>
    <x:row r="11" ht="14.25" hidden="0" customHeight="1">
      <x:c r="A11" s="4" t="str">
        <x:v>All datasets</x:v>
      </x:c>
      <x:c r="B11" s="4" t="str">
        <x:v>Reporting month</x:v>
      </x:c>
      <x:c r="C11" s="4" t="str">
        <x:v>Row is assigned to the configured period</x:v>
      </x:c>
      <x:c r="D11" s="4" t="str">
        <x:v>ReportingMonth</x:v>
      </x:c>
      <x:c r="E11" s="4" t="str">
        <x:v>Rejected</x:v>
      </x:c>
      <x:c r="F11" s="4" t="str">
        <x:v>High</x:v>
      </x:c>
    </x:row>
    <x:row r="12" ht="14.25" hidden="0" customHeight="1">
      <x:c r="A12" s="4" t="str">
        <x:v>All datasets</x:v>
      </x:c>
      <x:c r="B12" s="4" t="str">
        <x:v>File version</x:v>
      </x:c>
      <x:c r="C12" s="4" t="str">
        <x:v>Only FileVersionRank = 1 is transformed for a dataset-month</x:v>
      </x:c>
      <x:c r="D12" s="4" t="str">
        <x:v>qrySourceFileRegister</x:v>
      </x:c>
      <x:c r="E12" s="4" t="str">
        <x:v>Supersede older version</x:v>
      </x:c>
      <x:c r="F12" s="4" t="str">
        <x:v>Critical</x:v>
      </x:c>
    </x:row>
    <x:row r="13" ht="14.25" hidden="0" customHeight="1">
      <x:c r="A13" s="4" t="str">
        <x:v>All datasets</x:v>
      </x:c>
      <x:c r="B13" s="4" t="str">
        <x:v>Exact duplicate file</x:v>
      </x:c>
      <x:c r="C13" s="4" t="str">
        <x:v>Older binary-identical files are identified</x:v>
      </x:c>
      <x:c r="D13" s="4" t="str">
        <x:v>IsExactDuplicateOfActive</x:v>
      </x:c>
      <x:c r="E13" s="4" t="str">
        <x:v>Duplicate - superseded</x:v>
      </x:c>
      <x:c r="F13" s="4" t="str">
        <x:v>High</x:v>
      </x:c>
    </x:row>
    <x:row r="14" ht="14.25" hidden="0" customHeight="1">
      <x:c r="A14" s="4" t="str">
        <x:v>All datasets</x:v>
      </x:c>
      <x:c r="B14" s="4" t="str">
        <x:v>Uniqueness</x:v>
      </x:c>
      <x:c r="C14" s="4" t="str">
        <x:v>Candidate key is unique at the confirmed grain</x:v>
      </x:c>
      <x:c r="D14" s="4" t="str">
        <x:v>Dataset-specific key</x:v>
      </x:c>
      <x:c r="E14" s="4" t="str">
        <x:v>Rejected</x:v>
      </x:c>
      <x:c r="F14" s="4" t="str">
        <x:v>Critical</x:v>
      </x:c>
    </x:row>
    <x:row r="15" ht="14.25" hidden="0" customHeight="1">
      <x:c r="A15" s="4" t="str">
        <x:v>All datasets</x:v>
      </x:c>
      <x:c r="B15" s="4" t="str">
        <x:v>Organisation naming</x:v>
      </x:c>
      <x:c r="C15" s="4" t="str">
        <x:v>Unapproved multiple names for one code require review</x:v>
      </x:c>
      <x:c r="D15" s="4" t="str">
        <x:v>OrganisationCode, aliases and MappingStatus</x:v>
      </x:c>
      <x:c r="E15" s="4" t="str">
        <x:v>Review Required</x:v>
      </x:c>
      <x:c r="F15" s="4" t="str">
        <x:v>Medium</x:v>
      </x:c>
    </x:row>
    <x:row r="16" ht="14.25" hidden="0" customHeight="1">
      <x:c r="A16" s="4" t="str">
        <x:v>All datasets</x:v>
      </x:c>
      <x:c r="B16" s="4" t="str">
        <x:v>Provenance</x:v>
      </x:c>
      <x:c r="C16" s="4" t="str">
        <x:v>Ten lineage and validation fields are retained</x:v>
      </x:c>
      <x:c r="D16" s="4" t="str">
        <x:v>Source file, version, load, status and reason</x:v>
      </x:c>
      <x:c r="E16" s="4" t="str">
        <x:v>Rejected</x:v>
      </x:c>
      <x:c r="F16" s="4" t="str">
        <x:v>Critical</x:v>
      </x:c>
    </x:row>
    <x:row r="17" ht="14.25" hidden="0" customHeight="1">
      <x:c r="A17" s="4" t="str">
        <x:v>Workforce</x:v>
      </x:c>
      <x:c r="B17" s="4" t="str">
        <x:v>Measure validity</x:v>
      </x:c>
      <x:c r="C17" s="4" t="str">
        <x:v>DataType is HC/FTE and MeasureValue is numeric and non-negative</x:v>
      </x:c>
      <x:c r="D17" s="4" t="str">
        <x:v>DataType and MeasureValue</x:v>
      </x:c>
      <x:c r="E17" s="4" t="str">
        <x:v>Rejected</x:v>
      </x:c>
      <x:c r="F17" s="4" t="str">
        <x:v>Critical</x:v>
      </x:c>
    </x:row>
    <x:row r="18" ht="14.25" hidden="0" customHeight="1">
      <x:c r="A18" s="4" t="str">
        <x:v>Workforce</x:v>
      </x:c>
      <x:c r="B18" s="4" t="str">
        <x:v>Reporting window</x:v>
      </x:c>
      <x:c r="C18" s="4" t="str">
        <x:v>Cumulative source rows are filtered to configured months before validation</x:v>
      </x:c>
      <x:c r="D18" s="4" t="str">
        <x:v>SourceDate and parameters</x:v>
      </x:c>
      <x:c r="E18" s="4" t="str">
        <x:v>Out of scope</x:v>
      </x:c>
      <x:c r="F18" s="4" t="str">
        <x:v>High</x:v>
      </x:c>
    </x:row>
    <x:row r="19" ht="14.25" hidden="0" customHeight="1">
      <x:c r="A19" s="4" t="str">
        <x:v>Workforce</x:v>
      </x:c>
      <x:c r="B19" s="4" t="str">
        <x:v>Total member</x:v>
      </x:c>
      <x:c r="C19" s="4" t="str">
        <x:v>Published Total is not summed with staff-group components</x:v>
      </x:c>
      <x:c r="D19" s="4" t="str">
        <x:v>StaffGroupName</x:v>
      </x:c>
      <x:c r="E19" s="4" t="str">
        <x:v>Review Required</x:v>
      </x:c>
      <x:c r="F19" s="4" t="str">
        <x:v>Critical</x:v>
      </x:c>
    </x:row>
    <x:row r="20" ht="14.25" hidden="0" customHeight="1">
      <x:c r="A20" s="4" t="str">
        <x:v>Absence</x:v>
      </x:c>
      <x:c r="B20" s="4" t="str">
        <x:v>Measure validity</x:v>
      </x:c>
      <x:c r="C20" s="4" t="str">
        <x:v>FTE days are numeric and non-negative; rate is 0-100</x:v>
      </x:c>
      <x:c r="D20" s="4" t="str">
        <x:v>Three absence measures</x:v>
      </x:c>
      <x:c r="E20" s="4" t="str">
        <x:v>Rejected</x:v>
      </x:c>
      <x:c r="F20" s="4" t="str">
        <x:v>Critical</x:v>
      </x:c>
    </x:row>
    <x:row r="21" ht="14.25" hidden="0" customHeight="1">
      <x:c r="A21" s="4" t="str">
        <x:v>Absence</x:v>
      </x:c>
      <x:c r="B21" s="4" t="str">
        <x:v>Rate reconciliation</x:v>
      </x:c>
      <x:c r="C21" s="4" t="str">
        <x:v>Published rate differs by no more than 0.02 percentage points</x:v>
      </x:c>
      <x:c r="D21" s="4" t="str">
        <x:v>AbsenceRateVariance</x:v>
      </x:c>
      <x:c r="E21" s="4" t="str">
        <x:v>Review Required</x:v>
      </x:c>
      <x:c r="F21" s="4" t="str">
        <x:v>Medium</x:v>
      </x:c>
    </x:row>
    <x:row r="22" ht="14.25" hidden="0" customHeight="1">
      <x:c r="A22" s="4" t="str">
        <x:v>Absence</x:v>
      </x:c>
      <x:c r="B22" s="4" t="str">
        <x:v>Filename consistency</x:v>
      </x:c>
      <x:c r="C22" s="4" t="str">
        <x:v>DATE month matches filename month</x:v>
      </x:c>
      <x:c r="D22" s="4" t="str">
        <x:v>ReportingMonth and FileReportingMonth</x:v>
      </x:c>
      <x:c r="E22" s="4" t="str">
        <x:v>Review Required</x:v>
      </x:c>
      <x:c r="F22" s="4" t="str">
        <x:v>High</x:v>
      </x:c>
    </x:row>
    <x:row r="23" ht="14.25" hidden="0" customHeight="1">
      <x:c r="A23" s="4" t="str">
        <x:v>A&amp;E</x:v>
      </x:c>
      <x:c r="B23" s="4" t="str">
        <x:v>Measure validity</x:v>
      </x:c>
      <x:c r="C23" s="4" t="str">
        <x:v>All 18 measures are numeric and non-negative</x:v>
      </x:c>
      <x:c r="D23" s="4" t="str">
        <x:v>Canonical activity measures</x:v>
      </x:c>
      <x:c r="E23" s="4" t="str">
        <x:v>Rejected</x:v>
      </x:c>
      <x:c r="F23" s="4" t="str">
        <x:v>Critical</x:v>
      </x:c>
    </x:row>
    <x:row r="24" ht="14.25" hidden="0" customHeight="1">
      <x:c r="A24" t="str">
        <x:v>A&amp;E</x:v>
      </x:c>
      <x:c r="B24" t="str">
        <x:v>Period consistency</x:v>
      </x:c>
      <x:c r="C24" t="str">
        <x:v>Official Period month matches filename month</x:v>
      </x:c>
      <x:c r="D24" t="str">
        <x:v>PeriodReportingMonth and ReportingMonth</x:v>
      </x:c>
      <x:c r="E24" t="str">
        <x:v>Review Required</x:v>
      </x:c>
      <x:c r="F24" t="str">
        <x:v>High</x:v>
      </x:c>
    </x:row>
    <x:row r="25" ht="14.25" hidden="0" customHeight="1">
      <x:c r="A25" t="str">
        <x:v>A&amp;E</x:v>
      </x:c>
      <x:c r="B25" t="str">
        <x:v>Four-hour validity</x:v>
      </x:c>
      <x:c r="C25" t="str">
        <x:v>Over-four-hour values do not exceed corresponding attendances</x:v>
      </x:c>
      <x:c r="D25" t="str">
        <x:v>Six measure pairs</x:v>
      </x:c>
      <x:c r="E25" t="str">
        <x:v>Rejected</x:v>
      </x:c>
      <x:c r="F25" t="str">
        <x:v>Critical</x:v>
      </x:c>
    </x:row>
    <x:row r="26" ht="14.25" hidden="0" customHeight="1">
      <x:c r="A26" t="str">
        <x:v>A&amp;E</x:v>
      </x:c>
      <x:c r="B26" t="str">
        <x:v>Published TOTAL</x:v>
      </x:c>
      <x:c r="C26" t="str">
        <x:v>TOTAL is retained for reconciliation but excluded from provider fact</x:v>
      </x:c>
      <x:c r="D26" t="str">
        <x:v>OrganisationCode</x:v>
      </x:c>
      <x:c r="E26" t="str">
        <x:v>Rejected</x:v>
      </x:c>
      <x:c r="F26" t="str">
        <x:v>Critical</x:v>
      </x:c>
    </x:row>
    <x:row r="27" ht="14.25" hidden="0" customHeight="1">
      <x:c r="A27" s="25" t="str">
        <x:v>All datasets</x:v>
      </x:c>
      <x:c r="B27" s="25" t="str">
        <x:v>Row reconciliation</x:v>
      </x:c>
      <x:c r="C27" s="25" t="str">
        <x:v>Raw rows equal Accepted + Review Required + Rejected</x:v>
      </x:c>
      <x:c r="D27" s="25" t="str">
        <x:v>RecordStatus</x:v>
      </x:c>
      <x:c r="E27" s="25" t="str">
        <x:v>Publication gate</x:v>
      </x:c>
      <x:c r="F27" s="25" t="str">
        <x:v>Critical</x:v>
      </x:c>
    </x:row>
    <x:row r="28" ht="14.25" hidden="0" customHeight="1">
      <x:c r="A28" t="str">
        <x:v>All datasets</x:v>
      </x:c>
      <x:c r="B28" t="str">
        <x:v>Scope reconciliation</x:v>
      </x:c>
      <x:c r="C28" t="str">
        <x:v>Accepted totals equal Reportable + documented scope exclusions</x:v>
      </x:c>
      <x:c r="D28" t="str">
        <x:v>InclusionFlag and ReportableValue</x:v>
      </x:c>
      <x:c r="E28" t="str">
        <x:v>Publication gate</x:v>
      </x:c>
      <x:c r="F28" t="str">
        <x:v>Critical</x:v>
      </x:c>
    </x:row>
    <x:row r="29" ht="14.25" hidden="0" customHeight="1">
      <x:c r="A29" t="str">
        <x:v>All datasets</x:v>
      </x:c>
      <x:c r="B29" t="str">
        <x:v>Measure reconciliation</x:v>
      </x:c>
      <x:c r="C29" t="str">
        <x:v>Raw additive totals reconcile to status and reportable totals</x:v>
      </x:c>
      <x:c r="D29" t="str">
        <x:v>Dataset measures</x:v>
      </x:c>
      <x:c r="E29" t="str">
        <x:v>Review Required</x:v>
      </x:c>
      <x:c r="F29" t="str">
        <x:v>Critical</x:v>
      </x:c>
    </x:row>
    <x:row r="30" ht="47.099998474121094" customHeight="1"/>
    <x:row r="31" ht="47.099998474121094" customHeight="1"/>
    <x:row r="32" ht="47.099998474121094" customHeight="1"/>
    <x:row r="33" ht="47.099998474121094" customHeight="1"/>
    <x:row r="34" ht="47.099998474121094" customHeight="1"/>
  </x:sheetData>
  <x:mergeCells>
    <x:mergeCell ref="A1:F1"/>
    <x:mergeCell ref="A2:F2"/>
  </x:mergeCells>
  <x:conditionalFormatting sqref="E6:E23">
    <x:cfRule type="containsText" dxfId="6" priority="1" operator="containsText" text="Rejected"/>
    <x:cfRule type="containsText" dxfId="5" priority="2" operator="containsText" text="Warning"/>
    <x:cfRule type="containsText" dxfId="4" priority="4" operator="containsText" text="Rejected"/>
    <x:cfRule type="containsText" dxfId="3" priority="5" operator="containsText" text="Review Required"/>
    <x:cfRule type="containsText" dxfId="2" priority="6" operator="containsText" text="Rejected"/>
    <x:cfRule type="containsText" dxfId="1" priority="7" operator="containsText" text="Review Required"/>
  </x:conditionalFormatting>
  <x:conditionalFormatting sqref="F6:F23">
    <x:cfRule type="containsText" dxfId="0" priority="3" operator="containsText" text="Critical"/>
  </x:conditionalFormatting>
  <x:pageMargins left="0.7" right="0.7" top="0.75" bottom="0.75" header="0.3" footer="0.3"/>
  <x:tableParts count="1">
    <x:tablePart xmlns:r="http://schemas.openxmlformats.org/officeDocument/2006/relationships" r:id="R4d046f501d094bed"/>
  </x:tableParts>
</x:worksheet>
</file>