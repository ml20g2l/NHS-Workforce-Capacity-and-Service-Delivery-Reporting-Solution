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b4489e67a527d56/바탕화면/Works/project6/03_power_query/"/>
    </mc:Choice>
  </mc:AlternateContent>
  <xr:revisionPtr revIDLastSave="2" documentId="11_A40F4A83BF845AE347FCA22EC75B488DB56C059B" xr6:coauthVersionLast="47" xr6:coauthVersionMax="47" xr10:uidLastSave="{15D3E348-8A40-4150-A185-10B92BFD7C1F}"/>
  <bookViews>
    <workbookView xWindow="-120" yWindow="-120" windowWidth="29040" windowHeight="15720" xr2:uid="{00000000-000D-0000-FFFF-FFFF00000000}"/>
  </bookViews>
  <sheets>
    <sheet name="Parameters" sheetId="1" r:id="rId1"/>
    <sheet name="Setup Guide" sheetId="2" r:id="rId2"/>
    <sheet name="Query Catalogue" sheetId="3" r:id="rId3"/>
    <sheet name="Validation Ru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</calcChain>
</file>

<file path=xl/sharedStrings.xml><?xml version="1.0" encoding="utf-8"?>
<sst xmlns="http://schemas.openxmlformats.org/spreadsheetml/2006/main" count="350" uniqueCount="235">
  <si>
    <t>Power Query Control Parameters</t>
  </si>
  <si>
    <t>Edit the yellow ParameterValue cells when the project folder moves. The named Excel table must remain tblParameters.</t>
  </si>
  <si>
    <t>ParameterName</t>
  </si>
  <si>
    <t>ParameterValue</t>
  </si>
  <si>
    <t>Readiness summary</t>
  </si>
  <si>
    <t>WorkforceFolder</t>
  </si>
  <si>
    <t>C:\Users\wldbs\OneDrive\바탕화면\Works\project6\04_processed_data\staging\workforce</t>
  </si>
  <si>
    <t>Check</t>
  </si>
  <si>
    <t>Result</t>
  </si>
  <si>
    <t>AbsenceFolder</t>
  </si>
  <si>
    <t>C:\Users\wldbs\OneDrive\바탕화면\Works\project6\02_source_data\raw\absence</t>
  </si>
  <si>
    <t>Parameter rows</t>
  </si>
  <si>
    <t>ActivityFolder</t>
  </si>
  <si>
    <t>C:\Users\wldbs\OneDrive\바탕화면\Works\project6\02_source_data\raw\service_activity</t>
  </si>
  <si>
    <t>Blank values</t>
  </si>
  <si>
    <t>ReportingStartMonth</t>
  </si>
  <si>
    <t>Date order</t>
  </si>
  <si>
    <t>ReportingEndMonth</t>
  </si>
  <si>
    <t>Important</t>
  </si>
  <si>
    <t>The workforce folder points to a reproducible staging extract, not directly to the ZIP. Run prepare_workforce_extract.ps1 first. The raw ZIP remains unchanged and the extracted CSV is excluded from Git.</t>
  </si>
  <si>
    <t>Power Query Setup Guide</t>
  </si>
  <si>
    <t>Create blank queries in Excel and paste the supplied M expressions into Advanced Editor.</t>
  </si>
  <si>
    <t>Step</t>
  </si>
  <si>
    <t>Stage</t>
  </si>
  <si>
    <t>Action</t>
  </si>
  <si>
    <t>Expected result</t>
  </si>
  <si>
    <t>Load or cadence</t>
  </si>
  <si>
    <t>Prepare workforce source</t>
  </si>
  <si>
    <t>Run prepare_workforce_extract.ps1.</t>
  </si>
  <si>
    <t>The reproducible workforce CSV and hash manifest exist.</t>
  </si>
  <si>
    <t>Before first refresh</t>
  </si>
  <si>
    <t>Review parameters</t>
  </si>
  <si>
    <t>Confirm three folder paths and two reporting-month values.</t>
  </si>
  <si>
    <t>All five parameter values are correct.</t>
  </si>
  <si>
    <t>After moving or cloning</t>
  </si>
  <si>
    <t>Create helper queries</t>
  </si>
  <si>
    <t>Create queries 1-11 in catalogue order.</t>
  </si>
  <si>
    <t>Parameters and helper functions preview without errors.</t>
  </si>
  <si>
    <t>Connection only</t>
  </si>
  <si>
    <t>Create transform functions</t>
  </si>
  <si>
    <t>Create queries 12-14.</t>
  </si>
  <si>
    <t>Each function accepts file binary, filename and load timestamp.</t>
  </si>
  <si>
    <t>Create staging queries</t>
  </si>
  <si>
    <t>Create queries 15-17.</t>
  </si>
  <si>
    <t>Every record retains status, reason and provenance.</t>
  </si>
  <si>
    <t>Create DQ classification</t>
  </si>
  <si>
    <t>Create queries 18-20.</t>
  </si>
  <si>
    <t>Duplicate and organisation-name controls apply three statuses.</t>
  </si>
  <si>
    <t>Create clean outputs</t>
  </si>
  <si>
    <t>Create queries 21-23.</t>
  </si>
  <si>
    <t>Only Accepted rows remain.</t>
  </si>
  <si>
    <t>Data Model or preview</t>
  </si>
  <si>
    <t>Create control outputs</t>
  </si>
  <si>
    <t>Create queries 24-27.</t>
  </si>
  <si>
    <t>Exception, status and reconciliation outputs are available.</t>
  </si>
  <si>
    <t>Worksheet tables</t>
  </si>
  <si>
    <t>Review before publish</t>
  </si>
  <si>
    <t>Resolve Critical failures and document Review Required rows.</t>
  </si>
  <si>
    <t>Raw = Accepted + Review Required + Rejected.</t>
  </si>
  <si>
    <t>Every refresh</t>
  </si>
  <si>
    <t>Power Query Catalogue</t>
  </si>
  <si>
    <t>The query name must match this catalogue because downstream M expressions refer to these names.</t>
  </si>
  <si>
    <t>Order</t>
  </si>
  <si>
    <t>Query name</t>
  </si>
  <si>
    <t>Type</t>
  </si>
  <si>
    <t>M file</t>
  </si>
  <si>
    <t>Depends on</t>
  </si>
  <si>
    <t>Recommended load</t>
  </si>
  <si>
    <t>Output or purpose</t>
  </si>
  <si>
    <t>fnGetParameter</t>
  </si>
  <si>
    <t>Function</t>
  </si>
  <si>
    <t>m/00_fnGetParameter.pq</t>
  </si>
  <si>
    <t>tblParameters</t>
  </si>
  <si>
    <t>Returns exactly one named parameter value</t>
  </si>
  <si>
    <t>pWorkforceFolder</t>
  </si>
  <si>
    <t>Parameter query</t>
  </si>
  <si>
    <t>m/01_pWorkforceFolder.pq</t>
  </si>
  <si>
    <t>Workforce staging folder</t>
  </si>
  <si>
    <t>pAbsenceFolder</t>
  </si>
  <si>
    <t>m/02_pAbsenceFolder.pq</t>
  </si>
  <si>
    <t>Absence raw folder</t>
  </si>
  <si>
    <t>pActivityFolder</t>
  </si>
  <si>
    <t>m/03_pActivityFolder.pq</t>
  </si>
  <si>
    <t>A&amp;E raw folder</t>
  </si>
  <si>
    <t>pReportingStartMonth</t>
  </si>
  <si>
    <t>m/04_pReportingStartMonth.pq</t>
  </si>
  <si>
    <t>First included reporting month</t>
  </si>
  <si>
    <t>pReportingEndMonth</t>
  </si>
  <si>
    <t>m/05_pReportingEndMonth.pq</t>
  </si>
  <si>
    <t>Last included reporting month</t>
  </si>
  <si>
    <t>fnCleanOrganisationCode</t>
  </si>
  <si>
    <t>m/10_fnCleanOrganisationCode.pq</t>
  </si>
  <si>
    <t>None</t>
  </si>
  <si>
    <t>Trim, clean and uppercase organisation codes</t>
  </si>
  <si>
    <t>fnParseDate</t>
  </si>
  <si>
    <t>m/11_fnParseDate.pq</t>
  </si>
  <si>
    <t>Safe British and ISO date parsing</t>
  </si>
  <si>
    <t>fnParseNumber</t>
  </si>
  <si>
    <t>m/12_fnParseNumber.pq</t>
  </si>
  <si>
    <t>Safe numeric parsing</t>
  </si>
  <si>
    <t>fnMonthFromFileName</t>
  </si>
  <si>
    <t>m/13_fnMonthFromFileName.pq</t>
  </si>
  <si>
    <t>Parses final YYYY-MM filename token</t>
  </si>
  <si>
    <t>fnMonthFromAEPeriod</t>
  </si>
  <si>
    <t>m/14_fnMonthFromAEPeriod.pq</t>
  </si>
  <si>
    <t>Parses official MSitAE-MONTH-YYYY values</t>
  </si>
  <si>
    <t>fnTransformWorkforceFile</t>
  </si>
  <si>
    <t>Transform function</t>
  </si>
  <si>
    <t>m/20_fnTransformWorkforceFile.pq</t>
  </si>
  <si>
    <t>Parameters and helpers</t>
  </si>
  <si>
    <t>Standardised workforce rows</t>
  </si>
  <si>
    <t>fnTransformAbsenceFile</t>
  </si>
  <si>
    <t>m/21_fnTransformAbsenceFile.pq</t>
  </si>
  <si>
    <t>Standardised absence rows</t>
  </si>
  <si>
    <t>fnTransformActivityFile</t>
  </si>
  <si>
    <t>m/22_fnTransformActivityFile.pq</t>
  </si>
  <si>
    <t>Standardised A&amp;E rows</t>
  </si>
  <si>
    <t>stgWorkforceFiles</t>
  </si>
  <si>
    <t>Folder staging</t>
  </si>
  <si>
    <t>m/30_stgWorkforceFiles.pq</t>
  </si>
  <si>
    <t>Workforce transform</t>
  </si>
  <si>
    <t>All staged workforce rows</t>
  </si>
  <si>
    <t>stgAbsenceFiles</t>
  </si>
  <si>
    <t>m/31_stgAbsenceFiles.pq</t>
  </si>
  <si>
    <t>Absence transform</t>
  </si>
  <si>
    <t>All staged absence rows</t>
  </si>
  <si>
    <t>stgServiceFiles</t>
  </si>
  <si>
    <t>m/32_stgServiceFiles.pq</t>
  </si>
  <si>
    <t>A&amp;E transform</t>
  </si>
  <si>
    <t>All staged A&amp;E rows</t>
  </si>
  <si>
    <t>dqWorkforceClassified</t>
  </si>
  <si>
    <t>DQ classification</t>
  </si>
  <si>
    <t>m/60_dqWorkforceClassified.pq</t>
  </si>
  <si>
    <t>Three-status workforce classification</t>
  </si>
  <si>
    <t>dqAbsenceClassified</t>
  </si>
  <si>
    <t>m/61_dqAbsenceClassified.pq</t>
  </si>
  <si>
    <t>Duplicate and organisation-name controls</t>
  </si>
  <si>
    <t>dqServiceActivityClassified</t>
  </si>
  <si>
    <t>m/62_dqServiceActivityClassified.pq</t>
  </si>
  <si>
    <t>Provider-grain and organisation-name controls</t>
  </si>
  <si>
    <t>qryWorkforceClean</t>
  </si>
  <si>
    <t>Clean output</t>
  </si>
  <si>
    <t>m/40_qryWorkforceClean.pq</t>
  </si>
  <si>
    <t>Accepted workforce rows only</t>
  </si>
  <si>
    <t>qryAbsenceClean</t>
  </si>
  <si>
    <t>m/41_qryAbsenceClean.pq</t>
  </si>
  <si>
    <t>Accepted absence rows only</t>
  </si>
  <si>
    <t>qryServiceActivityClean</t>
  </si>
  <si>
    <t>m/42_qryServiceActivityClean.pq</t>
  </si>
  <si>
    <t>Accepted A&amp;E provider rows only</t>
  </si>
  <si>
    <t>qryPowerQueryExceptions</t>
  </si>
  <si>
    <t>Control output</t>
  </si>
  <si>
    <t>m/50_qryPowerQueryExceptions.pq</t>
  </si>
  <si>
    <t>Three classified queries</t>
  </si>
  <si>
    <t>Worksheet table</t>
  </si>
  <si>
    <t>Review Required and Rejected details</t>
  </si>
  <si>
    <t>qryPowerQueryRefreshSummary</t>
  </si>
  <si>
    <t>m/51_qryPowerQueryRefreshSummary.pq</t>
  </si>
  <si>
    <t>Counts by file, month and status</t>
  </si>
  <si>
    <t>qryDataQualityRuleResults</t>
  </si>
  <si>
    <t>DQ control output</t>
  </si>
  <si>
    <t>m/63_dqRuleResults.pq</t>
  </si>
  <si>
    <t>Data-quality status counts</t>
  </si>
  <si>
    <t>qryDataQualityReconciliation</t>
  </si>
  <si>
    <t>m/64_dqReconciliation.pq</t>
  </si>
  <si>
    <t>Raw versus accepted rows and additive totals</t>
  </si>
  <si>
    <t>Validation and Provenance Rules</t>
  </si>
  <si>
    <t>Stable automated checks used to classify rows before they reach the clean reporting outputs.</t>
  </si>
  <si>
    <t>Dataset</t>
  </si>
  <si>
    <t>Control</t>
  </si>
  <si>
    <t>Rule</t>
  </si>
  <si>
    <t>Fields or evidence</t>
  </si>
  <si>
    <t>Record treatment</t>
  </si>
  <si>
    <t>Severity</t>
  </si>
  <si>
    <t>All datasets</t>
  </si>
  <si>
    <t>Schema completeness</t>
  </si>
  <si>
    <t>Every required canonical column exists</t>
  </si>
  <si>
    <t>Expected minus actual columns</t>
  </si>
  <si>
    <t>Rejected</t>
  </si>
  <si>
    <t>Critical</t>
  </si>
  <si>
    <t>Schema drift</t>
  </si>
  <si>
    <t>Unexpected columns are identified and ignored explicitly</t>
  </si>
  <si>
    <t>Actual minus expected columns</t>
  </si>
  <si>
    <t>Review Required</t>
  </si>
  <si>
    <t>Medium</t>
  </si>
  <si>
    <t>Organisation code</t>
  </si>
  <si>
    <t>Cleaned code is nonblank</t>
  </si>
  <si>
    <t>OrganisationCode</t>
  </si>
  <si>
    <t>Reporting month</t>
  </si>
  <si>
    <t>Row is assigned to the configured period</t>
  </si>
  <si>
    <t>ReportingMonth</t>
  </si>
  <si>
    <t>High</t>
  </si>
  <si>
    <t>Uniqueness</t>
  </si>
  <si>
    <t>Candidate key is unique at the confirmed grain</t>
  </si>
  <si>
    <t>Dataset-specific key</t>
  </si>
  <si>
    <t>Organisation naming</t>
  </si>
  <si>
    <t>Multiple names for one code require documented review</t>
  </si>
  <si>
    <t>OrganisationCode and OrganisationName</t>
  </si>
  <si>
    <t>Provenance</t>
  </si>
  <si>
    <t>Six mandatory lineage and validation fields are present</t>
  </si>
  <si>
    <t>SourceFile through ValidationReason</t>
  </si>
  <si>
    <t>Workforce</t>
  </si>
  <si>
    <t>Measure validity</t>
  </si>
  <si>
    <t>DataType is HC/FTE and MeasureValue is numeric and non-negative</t>
  </si>
  <si>
    <t>DataType and MeasureValue</t>
  </si>
  <si>
    <t>Total member</t>
  </si>
  <si>
    <t>Published Total is not summed with staff-group components</t>
  </si>
  <si>
    <t>StaffGroupName</t>
  </si>
  <si>
    <t>Absence</t>
  </si>
  <si>
    <t>FTE days are numeric and non-negative; rate is 0-100</t>
  </si>
  <si>
    <t>Three absence measures</t>
  </si>
  <si>
    <t>Rate reconciliation</t>
  </si>
  <si>
    <t>Published rate differs by no more than 0.02 percentage points</t>
  </si>
  <si>
    <t>AbsenceRateVariance</t>
  </si>
  <si>
    <t>Filename consistency</t>
  </si>
  <si>
    <t>DATE month matches filename month</t>
  </si>
  <si>
    <t>ReportingMonth and FileReportingMonth</t>
  </si>
  <si>
    <t>A&amp;E</t>
  </si>
  <si>
    <t>All 18 measures are numeric and non-negative</t>
  </si>
  <si>
    <t>Canonical activity measures</t>
  </si>
  <si>
    <t>Period consistency</t>
  </si>
  <si>
    <t>Official Period month matches filename month</t>
  </si>
  <si>
    <t>PeriodReportingMonth and ReportingMonth</t>
  </si>
  <si>
    <t>Four-hour validity</t>
  </si>
  <si>
    <t>Over-four-hour values do not exceed corresponding attendances</t>
  </si>
  <si>
    <t>Six measure pairs</t>
  </si>
  <si>
    <t>Published TOTAL</t>
  </si>
  <si>
    <t>TOTAL is retained for reconciliation but excluded from provider fact</t>
  </si>
  <si>
    <t>Row reconciliation</t>
  </si>
  <si>
    <t>Raw rows equal Accepted + Review Required + Rejected</t>
  </si>
  <si>
    <t>RecordStatus</t>
  </si>
  <si>
    <t>Publication gate</t>
  </si>
  <si>
    <t>Measure reconciliation</t>
  </si>
  <si>
    <t>Raw additive totals reconcile to status totals</t>
  </si>
  <si>
    <t>Dataset measures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</si>
</sst>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8"/>
      <color rgb="FFFFFFFF"/>
      <name val="Carlito"/>
    </font>
    <font>
      <i/>
      <sz val="10"/>
      <color rgb="FF595959"/>
      <name val="Carlito"/>
    </font>
    <font>
      <b/>
      <sz val="11"/>
      <color rgb="FFFFFFFF"/>
      <name val="Carlito"/>
    </font>
    <font>
      <sz val="9"/>
      <color rgb="FF404040"/>
      <name val="Carlito"/>
    </font>
    <font>
      <b/>
      <sz val="9"/>
      <color rgb="FF7F6000"/>
      <name val="Carlito"/>
    </font>
    <font>
      <b/>
      <sz val="11"/>
      <color rgb="FF7F6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14">
    <border>
      <left/>
      <right/>
      <top/>
      <bottom/>
      <diagonal/>
    </border>
    <border>
      <left style="thin">
        <color rgb="FFB4C6D7"/>
      </left>
      <right/>
      <top style="thin">
        <color rgb="FFB4C6D7"/>
      </top>
      <bottom style="thin">
        <color rgb="FFB4C6D7"/>
      </bottom>
      <diagonal/>
    </border>
    <border>
      <left/>
      <right style="thin">
        <color rgb="FFB4C6D7"/>
      </right>
      <top style="thin">
        <color rgb="FFB4C6D7"/>
      </top>
      <bottom style="thin">
        <color rgb="FFB4C6D7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C9B458"/>
      </left>
      <right/>
      <top style="thin">
        <color rgb="FFC9B458"/>
      </top>
      <bottom/>
      <diagonal/>
    </border>
    <border>
      <left/>
      <right/>
      <top style="thin">
        <color rgb="FFC9B458"/>
      </top>
      <bottom/>
      <diagonal/>
    </border>
    <border>
      <left/>
      <right style="thin">
        <color rgb="FFC9B458"/>
      </right>
      <top style="thin">
        <color rgb="FFC9B458"/>
      </top>
      <bottom/>
      <diagonal/>
    </border>
    <border>
      <left style="thin">
        <color rgb="FFC9B458"/>
      </left>
      <right/>
      <top/>
      <bottom/>
      <diagonal/>
    </border>
    <border>
      <left/>
      <right style="thin">
        <color rgb="FFC9B458"/>
      </right>
      <top/>
      <bottom/>
      <diagonal/>
    </border>
    <border>
      <left style="thin">
        <color rgb="FFC9B458"/>
      </left>
      <right/>
      <top/>
      <bottom style="thin">
        <color rgb="FFC9B458"/>
      </bottom>
      <diagonal/>
    </border>
    <border>
      <left/>
      <right/>
      <top/>
      <bottom style="thin">
        <color rgb="FFC9B458"/>
      </bottom>
      <diagonal/>
    </border>
    <border>
      <left/>
      <right style="thin">
        <color rgb="FFC9B458"/>
      </right>
      <top/>
      <bottom style="thin">
        <color rgb="FFC9B458"/>
      </bottom>
      <diagonal/>
    </border>
    <border>
      <left/>
      <right/>
      <top style="thin">
        <color rgb="FFB4C6D7"/>
      </top>
      <bottom style="thin">
        <color rgb="FFB4C6D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164" fontId="5" fillId="5" borderId="4" xfId="0" applyNumberFormat="1" applyFont="1" applyFill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0" fontId="4" fillId="6" borderId="4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center" wrapText="1"/>
    </xf>
    <xf numFmtId="0" fontId="3" fillId="7" borderId="13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/>
    <xf numFmtId="0" fontId="6" fillId="5" borderId="5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6" fillId="5" borderId="7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 wrapText="1"/>
    </xf>
    <xf numFmtId="0" fontId="0" fillId="0" borderId="0" xfId="0"/>
  </cellXfs>
  <cellStyles count="1">
    <cellStyle name="Normal" xfId="0" builtinId="0"/>
  </cellStyles>
  <dxfs count="11">
    <dxf>
      <font>
        <b/>
        <color rgb="FF9C0006"/>
      </font>
      <fill>
        <patternFill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7365D"/>
      </font>
      <fill>
        <patternFill>
          <bgColor rgb="FFD9EAF7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rameters" displayName="tblParameters" ref="A4:B9" totalsRowShown="0">
  <tableColumns count="2">
    <tableColumn id="1" xr3:uid="{00000000-0010-0000-0000-000001000000}" name="ParameterName"/>
    <tableColumn id="2" xr3:uid="{00000000-0010-0000-0000-000002000000}" name="Parameter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SetupSteps" displayName="SetupSteps" ref="A5:E14" totalsRowShown="0">
  <tableColumns count="5">
    <tableColumn id="1" xr3:uid="{00000000-0010-0000-0100-000001000000}" name="Step"/>
    <tableColumn id="2" xr3:uid="{00000000-0010-0000-0100-000002000000}" name="Stage"/>
    <tableColumn id="3" xr3:uid="{00000000-0010-0000-0100-000003000000}" name="Action"/>
    <tableColumn id="4" xr3:uid="{00000000-0010-0000-0100-000004000000}" name="Expected result"/>
    <tableColumn id="5" xr3:uid="{00000000-0010-0000-0100-000005000000}" name="Load or ca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QueryCatalogue" displayName="QueryCatalogue" ref="A5:G32" totalsRowShown="0">
  <tableColumns count="7">
    <tableColumn id="1" xr3:uid="{00000000-0010-0000-0200-000001000000}" name="Order"/>
    <tableColumn id="2" xr3:uid="{00000000-0010-0000-0200-000002000000}" name="Query name"/>
    <tableColumn id="3" xr3:uid="{00000000-0010-0000-0200-000003000000}" name="Type"/>
    <tableColumn id="4" xr3:uid="{00000000-0010-0000-0200-000004000000}" name="M file"/>
    <tableColumn id="5" xr3:uid="{00000000-0010-0000-0200-000005000000}" name="Depends on"/>
    <tableColumn id="6" xr3:uid="{00000000-0010-0000-0200-000006000000}" name="Recommended load"/>
    <tableColumn id="7" xr3:uid="{00000000-0010-0000-0200-000007000000}" name="Output or purpo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ValidationRules" displayName="ValidationRules" ref="A5:F23" totalsRowShown="0">
  <tableColumns count="6">
    <tableColumn id="1" xr3:uid="{00000000-0010-0000-0300-000001000000}" name="Dataset"/>
    <tableColumn id="2" xr3:uid="{00000000-0010-0000-0300-000002000000}" name="Control"/>
    <tableColumn id="3" xr3:uid="{00000000-0010-0000-0300-000003000000}" name="Rule"/>
    <tableColumn id="4" xr3:uid="{00000000-0010-0000-0300-000004000000}" name="Fields or evidence"/>
    <tableColumn id="5" xr3:uid="{00000000-0010-0000-0300-000005000000}" name="Record treatment"/>
    <tableColumn id="6" xr3:uid="{00000000-0010-0000-0300-000006000000}" name="Seve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82EEF5-BAEF-42B4-A228-3DD31B22D264}">
  <we:reference id="wa200010215" version="2.0.0.0" store="en-GB" storeType="OMEX"/>
  <we:alternateReferences>
    <we:reference id="WA200010215" version="2.0.0.0" store="WA200010215" storeType="OMEX"/>
  </we:alternateReferences>
  <we:properties>
    <we:property name="bps.codex_control.document_id" value="&quot;a380ff1f-1c2f-42a1-ad03-07a56ca03d4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tabSelected="1" workbookViewId="0">
      <selection sqref="A1:F1"/>
    </sheetView>
  </sheetViews>
  <sheetFormatPr defaultRowHeight="14.25"/>
  <cols>
    <col min="1" max="1" width="29" customWidth="1"/>
    <col min="2" max="2" width="82" customWidth="1"/>
    <col min="3" max="3" width="5" customWidth="1"/>
    <col min="4" max="4" width="28" customWidth="1"/>
    <col min="5" max="5" width="22" customWidth="1"/>
    <col min="6" max="6" width="26" customWidth="1"/>
  </cols>
  <sheetData>
    <row r="1" spans="1:6" ht="30.95" customHeight="1">
      <c r="A1" s="13" t="s">
        <v>0</v>
      </c>
      <c r="B1" s="13"/>
      <c r="C1" s="13"/>
      <c r="D1" s="13"/>
      <c r="E1" s="13"/>
      <c r="F1" s="13"/>
    </row>
    <row r="2" spans="1:6" ht="33.950000000000003" customHeight="1">
      <c r="A2" s="14" t="s">
        <v>1</v>
      </c>
      <c r="B2" s="14"/>
      <c r="C2" s="14"/>
      <c r="D2" s="14"/>
      <c r="E2" s="14"/>
      <c r="F2" s="14"/>
    </row>
    <row r="4" spans="1:6" ht="30.95" customHeight="1">
      <c r="A4" s="1" t="s">
        <v>2</v>
      </c>
      <c r="B4" s="2" t="s">
        <v>3</v>
      </c>
      <c r="D4" s="15" t="s">
        <v>4</v>
      </c>
      <c r="E4" s="15"/>
      <c r="F4" s="15"/>
    </row>
    <row r="5" spans="1:6" ht="30.95" customHeight="1">
      <c r="A5" s="3" t="s">
        <v>5</v>
      </c>
      <c r="B5" s="5" t="s">
        <v>6</v>
      </c>
      <c r="D5" s="1" t="s">
        <v>7</v>
      </c>
      <c r="E5" s="2" t="s">
        <v>8</v>
      </c>
    </row>
    <row r="6" spans="1:6" ht="33.950000000000003" customHeight="1">
      <c r="A6" s="4" t="s">
        <v>9</v>
      </c>
      <c r="B6" s="6" t="s">
        <v>10</v>
      </c>
      <c r="D6" s="3" t="s">
        <v>11</v>
      </c>
      <c r="E6" s="8">
        <f>COUNTA(A5:A9)</f>
        <v>5</v>
      </c>
    </row>
    <row r="7" spans="1:6" ht="33.950000000000003" customHeight="1">
      <c r="A7" s="4" t="s">
        <v>12</v>
      </c>
      <c r="B7" s="6" t="s">
        <v>13</v>
      </c>
      <c r="D7" s="4" t="s">
        <v>14</v>
      </c>
      <c r="E7" s="9">
        <f>COUNTBLANK(B5:B9)</f>
        <v>0</v>
      </c>
    </row>
    <row r="8" spans="1:6" ht="33.950000000000003" customHeight="1">
      <c r="A8" s="4" t="s">
        <v>15</v>
      </c>
      <c r="B8" s="7">
        <v>45383</v>
      </c>
      <c r="D8" s="4" t="s">
        <v>16</v>
      </c>
      <c r="E8" s="9" t="str">
        <f>IF(B8&lt;=B9,"OK","CHECK DATES")</f>
        <v>OK</v>
      </c>
    </row>
    <row r="9" spans="1:6" ht="38.1" customHeight="1">
      <c r="A9" s="4" t="s">
        <v>17</v>
      </c>
      <c r="B9" s="7">
        <v>45717</v>
      </c>
    </row>
    <row r="12" spans="1:6" ht="15">
      <c r="A12" s="15" t="s">
        <v>18</v>
      </c>
      <c r="B12" s="15"/>
      <c r="C12" s="15"/>
      <c r="D12" s="15"/>
      <c r="E12" s="15"/>
      <c r="F12" s="15"/>
    </row>
    <row r="13" spans="1:6">
      <c r="A13" s="16" t="s">
        <v>19</v>
      </c>
      <c r="B13" s="17"/>
      <c r="C13" s="17"/>
      <c r="D13" s="17"/>
      <c r="E13" s="17"/>
      <c r="F13" s="18"/>
    </row>
    <row r="14" spans="1:6">
      <c r="A14" s="19"/>
      <c r="B14" s="20"/>
      <c r="C14" s="20"/>
      <c r="D14" s="20"/>
      <c r="E14" s="20"/>
      <c r="F14" s="21"/>
    </row>
    <row r="15" spans="1:6">
      <c r="A15" s="19"/>
      <c r="B15" s="20"/>
      <c r="C15" s="20"/>
      <c r="D15" s="20"/>
      <c r="E15" s="20"/>
      <c r="F15" s="21"/>
    </row>
    <row r="16" spans="1:6">
      <c r="A16" s="22"/>
      <c r="B16" s="23"/>
      <c r="C16" s="23"/>
      <c r="D16" s="23"/>
      <c r="E16" s="23"/>
      <c r="F16" s="24"/>
    </row>
  </sheetData>
  <mergeCells count="5">
    <mergeCell ref="A1:F1"/>
    <mergeCell ref="A2:F2"/>
    <mergeCell ref="D4:F4"/>
    <mergeCell ref="A12:F12"/>
    <mergeCell ref="A13:F1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workbookViewId="0"/>
  </sheetViews>
  <sheetFormatPr defaultRowHeight="14.25"/>
  <cols>
    <col min="1" max="1" width="10" customWidth="1"/>
    <col min="2" max="2" width="35" customWidth="1"/>
    <col min="3" max="3" width="72" customWidth="1"/>
    <col min="4" max="4" width="66" customWidth="1"/>
    <col min="5" max="5" width="34" customWidth="1"/>
  </cols>
  <sheetData>
    <row r="1" spans="1:5" ht="30.95" customHeight="1">
      <c r="A1" s="13" t="s">
        <v>20</v>
      </c>
      <c r="B1" s="13"/>
      <c r="C1" s="13"/>
      <c r="D1" s="13"/>
      <c r="E1" s="13"/>
    </row>
    <row r="2" spans="1:5" ht="33.950000000000003" customHeight="1">
      <c r="A2" s="14" t="s">
        <v>21</v>
      </c>
      <c r="B2" s="14"/>
      <c r="C2" s="14"/>
      <c r="D2" s="14"/>
      <c r="E2" s="14"/>
    </row>
    <row r="5" spans="1:5" ht="33.950000000000003" customHeight="1">
      <c r="A5" s="10" t="s">
        <v>22</v>
      </c>
      <c r="B5" s="11" t="s">
        <v>23</v>
      </c>
      <c r="C5" s="11" t="s">
        <v>24</v>
      </c>
      <c r="D5" s="11" t="s">
        <v>25</v>
      </c>
      <c r="E5" s="12" t="s">
        <v>26</v>
      </c>
    </row>
    <row r="6" spans="1:5" ht="60" customHeight="1">
      <c r="A6" s="3">
        <v>1</v>
      </c>
      <c r="B6" s="3" t="s">
        <v>27</v>
      </c>
      <c r="C6" s="3" t="s">
        <v>28</v>
      </c>
      <c r="D6" s="3" t="s">
        <v>29</v>
      </c>
      <c r="E6" s="3" t="s">
        <v>30</v>
      </c>
    </row>
    <row r="7" spans="1:5" ht="60" customHeight="1">
      <c r="A7" s="4">
        <v>2</v>
      </c>
      <c r="B7" s="4" t="s">
        <v>31</v>
      </c>
      <c r="C7" s="4" t="s">
        <v>32</v>
      </c>
      <c r="D7" s="4" t="s">
        <v>33</v>
      </c>
      <c r="E7" s="4" t="s">
        <v>34</v>
      </c>
    </row>
    <row r="8" spans="1:5" ht="60" customHeight="1">
      <c r="A8" s="4">
        <v>3</v>
      </c>
      <c r="B8" s="4" t="s">
        <v>35</v>
      </c>
      <c r="C8" s="4" t="s">
        <v>36</v>
      </c>
      <c r="D8" s="4" t="s">
        <v>37</v>
      </c>
      <c r="E8" s="4" t="s">
        <v>38</v>
      </c>
    </row>
    <row r="9" spans="1:5" ht="60" customHeight="1">
      <c r="A9" s="4">
        <v>4</v>
      </c>
      <c r="B9" s="4" t="s">
        <v>39</v>
      </c>
      <c r="C9" s="4" t="s">
        <v>40</v>
      </c>
      <c r="D9" s="4" t="s">
        <v>41</v>
      </c>
      <c r="E9" s="4" t="s">
        <v>38</v>
      </c>
    </row>
    <row r="10" spans="1:5" ht="60" customHeight="1">
      <c r="A10" s="4">
        <v>5</v>
      </c>
      <c r="B10" s="4" t="s">
        <v>42</v>
      </c>
      <c r="C10" s="4" t="s">
        <v>43</v>
      </c>
      <c r="D10" s="4" t="s">
        <v>44</v>
      </c>
      <c r="E10" s="4" t="s">
        <v>38</v>
      </c>
    </row>
    <row r="11" spans="1:5" ht="60" customHeight="1">
      <c r="A11" s="4">
        <v>6</v>
      </c>
      <c r="B11" s="4" t="s">
        <v>45</v>
      </c>
      <c r="C11" s="4" t="s">
        <v>46</v>
      </c>
      <c r="D11" s="4" t="s">
        <v>47</v>
      </c>
      <c r="E11" s="4" t="s">
        <v>38</v>
      </c>
    </row>
    <row r="12" spans="1:5" ht="60" customHeight="1">
      <c r="A12" s="4">
        <v>7</v>
      </c>
      <c r="B12" s="4" t="s">
        <v>48</v>
      </c>
      <c r="C12" s="4" t="s">
        <v>49</v>
      </c>
      <c r="D12" s="4" t="s">
        <v>50</v>
      </c>
      <c r="E12" s="4" t="s">
        <v>51</v>
      </c>
    </row>
    <row r="13" spans="1:5" ht="60" customHeight="1">
      <c r="A13" s="4">
        <v>8</v>
      </c>
      <c r="B13" s="4" t="s">
        <v>52</v>
      </c>
      <c r="C13" s="4" t="s">
        <v>53</v>
      </c>
      <c r="D13" s="4" t="s">
        <v>54</v>
      </c>
      <c r="E13" s="4" t="s">
        <v>55</v>
      </c>
    </row>
    <row r="14" spans="1:5" ht="60" customHeight="1">
      <c r="A14" s="4">
        <v>9</v>
      </c>
      <c r="B14" s="4" t="s">
        <v>56</v>
      </c>
      <c r="C14" s="4" t="s">
        <v>57</v>
      </c>
      <c r="D14" s="4" t="s">
        <v>58</v>
      </c>
      <c r="E14" s="4" t="s">
        <v>59</v>
      </c>
    </row>
  </sheetData>
  <mergeCells count="2">
    <mergeCell ref="A1:E1"/>
    <mergeCell ref="A2:E2"/>
  </mergeCells>
  <conditionalFormatting sqref="E6:E13">
    <cfRule type="containsText" dxfId="10" priority="1" operator="containsText" text="Required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workbookViewId="0"/>
  </sheetViews>
  <sheetFormatPr defaultRowHeight="14.25"/>
  <cols>
    <col min="1" max="1" width="10" customWidth="1"/>
    <col min="2" max="2" width="42" customWidth="1"/>
    <col min="3" max="3" width="26" customWidth="1"/>
    <col min="4" max="4" width="47" customWidth="1"/>
    <col min="5" max="5" width="40" customWidth="1"/>
    <col min="6" max="6" width="36" customWidth="1"/>
    <col min="7" max="7" width="58" customWidth="1"/>
  </cols>
  <sheetData>
    <row r="1" spans="1:7" ht="30.95" customHeight="1">
      <c r="A1" s="13" t="s">
        <v>60</v>
      </c>
      <c r="B1" s="13"/>
      <c r="C1" s="13"/>
      <c r="D1" s="13"/>
      <c r="E1" s="13"/>
      <c r="F1" s="13"/>
      <c r="G1" s="13"/>
    </row>
    <row r="2" spans="1:7" ht="33.950000000000003" customHeight="1">
      <c r="A2" s="14" t="s">
        <v>61</v>
      </c>
      <c r="B2" s="14"/>
      <c r="C2" s="14"/>
      <c r="D2" s="14"/>
      <c r="E2" s="14"/>
      <c r="F2" s="14"/>
      <c r="G2" s="14"/>
    </row>
    <row r="5" spans="1:7" ht="33.950000000000003" customHeight="1">
      <c r="A5" s="10" t="s">
        <v>62</v>
      </c>
      <c r="B5" s="11" t="s">
        <v>63</v>
      </c>
      <c r="C5" s="11" t="s">
        <v>64</v>
      </c>
      <c r="D5" s="11" t="s">
        <v>65</v>
      </c>
      <c r="E5" s="11" t="s">
        <v>66</v>
      </c>
      <c r="F5" s="11" t="s">
        <v>67</v>
      </c>
      <c r="G5" s="12" t="s">
        <v>68</v>
      </c>
    </row>
    <row r="6" spans="1:7" ht="50.1" customHeight="1">
      <c r="A6" s="3">
        <v>1</v>
      </c>
      <c r="B6" s="3" t="s">
        <v>69</v>
      </c>
      <c r="C6" s="3" t="s">
        <v>70</v>
      </c>
      <c r="D6" s="3" t="s">
        <v>71</v>
      </c>
      <c r="E6" s="3" t="s">
        <v>72</v>
      </c>
      <c r="F6" s="3" t="s">
        <v>38</v>
      </c>
      <c r="G6" s="3" t="s">
        <v>73</v>
      </c>
    </row>
    <row r="7" spans="1:7" ht="50.1" customHeight="1">
      <c r="A7" s="4">
        <v>2</v>
      </c>
      <c r="B7" s="4" t="s">
        <v>74</v>
      </c>
      <c r="C7" s="4" t="s">
        <v>75</v>
      </c>
      <c r="D7" s="4" t="s">
        <v>76</v>
      </c>
      <c r="E7" s="4" t="s">
        <v>69</v>
      </c>
      <c r="F7" s="4" t="s">
        <v>38</v>
      </c>
      <c r="G7" s="4" t="s">
        <v>77</v>
      </c>
    </row>
    <row r="8" spans="1:7" ht="50.1" customHeight="1">
      <c r="A8" s="4">
        <v>3</v>
      </c>
      <c r="B8" s="4" t="s">
        <v>78</v>
      </c>
      <c r="C8" s="4" t="s">
        <v>75</v>
      </c>
      <c r="D8" s="4" t="s">
        <v>79</v>
      </c>
      <c r="E8" s="4" t="s">
        <v>69</v>
      </c>
      <c r="F8" s="4" t="s">
        <v>38</v>
      </c>
      <c r="G8" s="4" t="s">
        <v>80</v>
      </c>
    </row>
    <row r="9" spans="1:7" ht="50.1" customHeight="1">
      <c r="A9" s="4">
        <v>4</v>
      </c>
      <c r="B9" s="4" t="s">
        <v>81</v>
      </c>
      <c r="C9" s="4" t="s">
        <v>75</v>
      </c>
      <c r="D9" s="4" t="s">
        <v>82</v>
      </c>
      <c r="E9" s="4" t="s">
        <v>69</v>
      </c>
      <c r="F9" s="4" t="s">
        <v>38</v>
      </c>
      <c r="G9" s="4" t="s">
        <v>83</v>
      </c>
    </row>
    <row r="10" spans="1:7" ht="50.1" customHeight="1">
      <c r="A10" s="4">
        <v>5</v>
      </c>
      <c r="B10" s="4" t="s">
        <v>84</v>
      </c>
      <c r="C10" s="4" t="s">
        <v>75</v>
      </c>
      <c r="D10" s="4" t="s">
        <v>85</v>
      </c>
      <c r="E10" s="4" t="s">
        <v>69</v>
      </c>
      <c r="F10" s="4" t="s">
        <v>38</v>
      </c>
      <c r="G10" s="4" t="s">
        <v>86</v>
      </c>
    </row>
    <row r="11" spans="1:7" ht="50.1" customHeight="1">
      <c r="A11" s="4">
        <v>6</v>
      </c>
      <c r="B11" s="4" t="s">
        <v>87</v>
      </c>
      <c r="C11" s="4" t="s">
        <v>75</v>
      </c>
      <c r="D11" s="4" t="s">
        <v>88</v>
      </c>
      <c r="E11" s="4" t="s">
        <v>69</v>
      </c>
      <c r="F11" s="4" t="s">
        <v>38</v>
      </c>
      <c r="G11" s="4" t="s">
        <v>89</v>
      </c>
    </row>
    <row r="12" spans="1:7" ht="50.1" customHeight="1">
      <c r="A12" s="4">
        <v>7</v>
      </c>
      <c r="B12" s="4" t="s">
        <v>90</v>
      </c>
      <c r="C12" s="4" t="s">
        <v>70</v>
      </c>
      <c r="D12" s="4" t="s">
        <v>91</v>
      </c>
      <c r="E12" s="4" t="s">
        <v>92</v>
      </c>
      <c r="F12" s="4" t="s">
        <v>38</v>
      </c>
      <c r="G12" s="4" t="s">
        <v>93</v>
      </c>
    </row>
    <row r="13" spans="1:7" ht="50.1" customHeight="1">
      <c r="A13" s="4">
        <v>8</v>
      </c>
      <c r="B13" s="4" t="s">
        <v>94</v>
      </c>
      <c r="C13" s="4" t="s">
        <v>70</v>
      </c>
      <c r="D13" s="4" t="s">
        <v>95</v>
      </c>
      <c r="E13" s="4" t="s">
        <v>92</v>
      </c>
      <c r="F13" s="4" t="s">
        <v>38</v>
      </c>
      <c r="G13" s="4" t="s">
        <v>96</v>
      </c>
    </row>
    <row r="14" spans="1:7" ht="50.1" customHeight="1">
      <c r="A14" s="4">
        <v>9</v>
      </c>
      <c r="B14" s="4" t="s">
        <v>97</v>
      </c>
      <c r="C14" s="4" t="s">
        <v>70</v>
      </c>
      <c r="D14" s="4" t="s">
        <v>98</v>
      </c>
      <c r="E14" s="4" t="s">
        <v>92</v>
      </c>
      <c r="F14" s="4" t="s">
        <v>38</v>
      </c>
      <c r="G14" s="4" t="s">
        <v>99</v>
      </c>
    </row>
    <row r="15" spans="1:7" ht="50.1" customHeight="1">
      <c r="A15" s="4">
        <v>10</v>
      </c>
      <c r="B15" s="4" t="s">
        <v>100</v>
      </c>
      <c r="C15" s="4" t="s">
        <v>70</v>
      </c>
      <c r="D15" s="4" t="s">
        <v>101</v>
      </c>
      <c r="E15" s="4" t="s">
        <v>92</v>
      </c>
      <c r="F15" s="4" t="s">
        <v>38</v>
      </c>
      <c r="G15" s="4" t="s">
        <v>102</v>
      </c>
    </row>
    <row r="16" spans="1:7" ht="50.1" customHeight="1">
      <c r="A16" s="4">
        <v>11</v>
      </c>
      <c r="B16" s="4" t="s">
        <v>103</v>
      </c>
      <c r="C16" s="4" t="s">
        <v>70</v>
      </c>
      <c r="D16" s="4" t="s">
        <v>104</v>
      </c>
      <c r="E16" s="4" t="s">
        <v>92</v>
      </c>
      <c r="F16" s="4" t="s">
        <v>38</v>
      </c>
      <c r="G16" s="4" t="s">
        <v>105</v>
      </c>
    </row>
    <row r="17" spans="1:7" ht="50.1" customHeight="1">
      <c r="A17" s="4">
        <v>12</v>
      </c>
      <c r="B17" s="4" t="s">
        <v>106</v>
      </c>
      <c r="C17" s="4" t="s">
        <v>107</v>
      </c>
      <c r="D17" s="4" t="s">
        <v>108</v>
      </c>
      <c r="E17" s="4" t="s">
        <v>109</v>
      </c>
      <c r="F17" s="4" t="s">
        <v>38</v>
      </c>
      <c r="G17" s="4" t="s">
        <v>110</v>
      </c>
    </row>
    <row r="18" spans="1:7" ht="50.1" customHeight="1">
      <c r="A18" s="4">
        <v>13</v>
      </c>
      <c r="B18" s="4" t="s">
        <v>111</v>
      </c>
      <c r="C18" s="4" t="s">
        <v>107</v>
      </c>
      <c r="D18" s="4" t="s">
        <v>112</v>
      </c>
      <c r="E18" s="4" t="s">
        <v>109</v>
      </c>
      <c r="F18" s="4" t="s">
        <v>38</v>
      </c>
      <c r="G18" s="4" t="s">
        <v>113</v>
      </c>
    </row>
    <row r="19" spans="1:7" ht="50.1" customHeight="1">
      <c r="A19" s="4">
        <v>14</v>
      </c>
      <c r="B19" s="4" t="s">
        <v>114</v>
      </c>
      <c r="C19" s="4" t="s">
        <v>107</v>
      </c>
      <c r="D19" s="4" t="s">
        <v>115</v>
      </c>
      <c r="E19" s="4" t="s">
        <v>109</v>
      </c>
      <c r="F19" s="4" t="s">
        <v>38</v>
      </c>
      <c r="G19" s="4" t="s">
        <v>116</v>
      </c>
    </row>
    <row r="20" spans="1:7" ht="50.1" customHeight="1">
      <c r="A20" s="4">
        <v>15</v>
      </c>
      <c r="B20" s="4" t="s">
        <v>117</v>
      </c>
      <c r="C20" s="4" t="s">
        <v>118</v>
      </c>
      <c r="D20" s="4" t="s">
        <v>119</v>
      </c>
      <c r="E20" s="4" t="s">
        <v>120</v>
      </c>
      <c r="F20" s="4" t="s">
        <v>38</v>
      </c>
      <c r="G20" s="4" t="s">
        <v>121</v>
      </c>
    </row>
    <row r="21" spans="1:7" ht="50.1" customHeight="1">
      <c r="A21" s="4">
        <v>16</v>
      </c>
      <c r="B21" s="4" t="s">
        <v>122</v>
      </c>
      <c r="C21" s="4" t="s">
        <v>118</v>
      </c>
      <c r="D21" s="4" t="s">
        <v>123</v>
      </c>
      <c r="E21" s="4" t="s">
        <v>124</v>
      </c>
      <c r="F21" s="4" t="s">
        <v>38</v>
      </c>
      <c r="G21" s="4" t="s">
        <v>125</v>
      </c>
    </row>
    <row r="22" spans="1:7" ht="50.1" customHeight="1">
      <c r="A22" s="4">
        <v>17</v>
      </c>
      <c r="B22" s="4" t="s">
        <v>126</v>
      </c>
      <c r="C22" s="4" t="s">
        <v>118</v>
      </c>
      <c r="D22" s="4" t="s">
        <v>127</v>
      </c>
      <c r="E22" s="4" t="s">
        <v>128</v>
      </c>
      <c r="F22" s="4" t="s">
        <v>38</v>
      </c>
      <c r="G22" s="4" t="s">
        <v>129</v>
      </c>
    </row>
    <row r="23" spans="1:7" ht="50.1" customHeight="1">
      <c r="A23" s="4">
        <v>18</v>
      </c>
      <c r="B23" s="4" t="s">
        <v>130</v>
      </c>
      <c r="C23" s="4" t="s">
        <v>131</v>
      </c>
      <c r="D23" s="4" t="s">
        <v>132</v>
      </c>
      <c r="E23" s="4" t="s">
        <v>117</v>
      </c>
      <c r="F23" s="4" t="s">
        <v>38</v>
      </c>
      <c r="G23" s="4" t="s">
        <v>133</v>
      </c>
    </row>
    <row r="24" spans="1:7" ht="50.1" customHeight="1">
      <c r="A24" s="4">
        <v>19</v>
      </c>
      <c r="B24" s="4" t="s">
        <v>134</v>
      </c>
      <c r="C24" s="4" t="s">
        <v>131</v>
      </c>
      <c r="D24" s="4" t="s">
        <v>135</v>
      </c>
      <c r="E24" s="4" t="s">
        <v>122</v>
      </c>
      <c r="F24" s="4" t="s">
        <v>38</v>
      </c>
      <c r="G24" s="4" t="s">
        <v>136</v>
      </c>
    </row>
    <row r="25" spans="1:7" ht="50.1" customHeight="1">
      <c r="A25" s="4">
        <v>20</v>
      </c>
      <c r="B25" s="4" t="s">
        <v>137</v>
      </c>
      <c r="C25" s="4" t="s">
        <v>131</v>
      </c>
      <c r="D25" s="4" t="s">
        <v>138</v>
      </c>
      <c r="E25" s="4" t="s">
        <v>126</v>
      </c>
      <c r="F25" s="4" t="s">
        <v>38</v>
      </c>
      <c r="G25" s="4" t="s">
        <v>139</v>
      </c>
    </row>
    <row r="26" spans="1:7" ht="50.1" customHeight="1">
      <c r="A26" s="4">
        <v>21</v>
      </c>
      <c r="B26" s="4" t="s">
        <v>140</v>
      </c>
      <c r="C26" s="4" t="s">
        <v>141</v>
      </c>
      <c r="D26" s="4" t="s">
        <v>142</v>
      </c>
      <c r="E26" s="4" t="s">
        <v>130</v>
      </c>
      <c r="F26" s="4" t="s">
        <v>51</v>
      </c>
      <c r="G26" s="4" t="s">
        <v>143</v>
      </c>
    </row>
    <row r="27" spans="1:7" ht="50.1" customHeight="1">
      <c r="A27" s="4">
        <v>22</v>
      </c>
      <c r="B27" s="4" t="s">
        <v>144</v>
      </c>
      <c r="C27" s="4" t="s">
        <v>141</v>
      </c>
      <c r="D27" s="4" t="s">
        <v>145</v>
      </c>
      <c r="E27" s="4" t="s">
        <v>134</v>
      </c>
      <c r="F27" s="4" t="s">
        <v>51</v>
      </c>
      <c r="G27" s="4" t="s">
        <v>146</v>
      </c>
    </row>
    <row r="28" spans="1:7" ht="50.1" customHeight="1">
      <c r="A28" s="4">
        <v>23</v>
      </c>
      <c r="B28" s="4" t="s">
        <v>147</v>
      </c>
      <c r="C28" s="4" t="s">
        <v>141</v>
      </c>
      <c r="D28" s="4" t="s">
        <v>148</v>
      </c>
      <c r="E28" s="4" t="s">
        <v>137</v>
      </c>
      <c r="F28" s="4" t="s">
        <v>51</v>
      </c>
      <c r="G28" s="4" t="s">
        <v>149</v>
      </c>
    </row>
    <row r="29" spans="1:7" ht="50.1" customHeight="1">
      <c r="A29" s="4">
        <v>24</v>
      </c>
      <c r="B29" s="4" t="s">
        <v>150</v>
      </c>
      <c r="C29" s="4" t="s">
        <v>151</v>
      </c>
      <c r="D29" s="4" t="s">
        <v>152</v>
      </c>
      <c r="E29" s="4" t="s">
        <v>153</v>
      </c>
      <c r="F29" s="4" t="s">
        <v>154</v>
      </c>
      <c r="G29" s="4" t="s">
        <v>155</v>
      </c>
    </row>
    <row r="30" spans="1:7" ht="50.1" customHeight="1">
      <c r="A30" s="4">
        <v>25</v>
      </c>
      <c r="B30" s="4" t="s">
        <v>156</v>
      </c>
      <c r="C30" s="4" t="s">
        <v>151</v>
      </c>
      <c r="D30" s="4" t="s">
        <v>157</v>
      </c>
      <c r="E30" s="4" t="s">
        <v>153</v>
      </c>
      <c r="F30" s="4" t="s">
        <v>154</v>
      </c>
      <c r="G30" s="4" t="s">
        <v>158</v>
      </c>
    </row>
    <row r="31" spans="1:7" ht="50.1" customHeight="1">
      <c r="A31" s="4">
        <v>26</v>
      </c>
      <c r="B31" s="4" t="s">
        <v>159</v>
      </c>
      <c r="C31" s="4" t="s">
        <v>160</v>
      </c>
      <c r="D31" s="4" t="s">
        <v>161</v>
      </c>
      <c r="E31" s="4" t="s">
        <v>153</v>
      </c>
      <c r="F31" s="4" t="s">
        <v>154</v>
      </c>
      <c r="G31" s="4" t="s">
        <v>162</v>
      </c>
    </row>
    <row r="32" spans="1:7" ht="50.1" customHeight="1">
      <c r="A32" s="4">
        <v>27</v>
      </c>
      <c r="B32" s="4" t="s">
        <v>163</v>
      </c>
      <c r="C32" s="4" t="s">
        <v>160</v>
      </c>
      <c r="D32" s="4" t="s">
        <v>164</v>
      </c>
      <c r="E32" s="4" t="s">
        <v>153</v>
      </c>
      <c r="F32" s="4" t="s">
        <v>154</v>
      </c>
      <c r="G32" s="4" t="s">
        <v>165</v>
      </c>
    </row>
  </sheetData>
  <mergeCells count="2">
    <mergeCell ref="A1:G1"/>
    <mergeCell ref="A2:G2"/>
  </mergeCells>
  <conditionalFormatting sqref="C6:C26">
    <cfRule type="containsText" dxfId="9" priority="1" operator="containsText" text="Function"/>
    <cfRule type="containsText" dxfId="8" priority="2" operator="containsText" text="staging"/>
    <cfRule type="containsText" dxfId="7" priority="3" operator="containsText" text="output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showGridLines="0" workbookViewId="0"/>
  </sheetViews>
  <sheetFormatPr defaultRowHeight="14.25"/>
  <cols>
    <col min="1" max="1" width="24" customWidth="1"/>
    <col min="2" max="2" width="38" customWidth="1"/>
    <col min="3" max="3" width="70" customWidth="1"/>
    <col min="4" max="4" width="57" customWidth="1"/>
    <col min="5" max="5" width="37" customWidth="1"/>
    <col min="6" max="6" width="22" customWidth="1"/>
  </cols>
  <sheetData>
    <row r="1" spans="1:6" ht="30.95" customHeight="1">
      <c r="A1" s="13" t="s">
        <v>166</v>
      </c>
      <c r="B1" s="13"/>
      <c r="C1" s="13"/>
      <c r="D1" s="13"/>
      <c r="E1" s="13"/>
      <c r="F1" s="13"/>
    </row>
    <row r="2" spans="1:6" ht="33.950000000000003" customHeight="1">
      <c r="A2" s="14" t="s">
        <v>167</v>
      </c>
      <c r="B2" s="14"/>
      <c r="C2" s="14"/>
      <c r="D2" s="14"/>
      <c r="E2" s="14"/>
      <c r="F2" s="14"/>
    </row>
    <row r="5" spans="1:6" ht="33.950000000000003" customHeight="1">
      <c r="A5" s="10" t="s">
        <v>168</v>
      </c>
      <c r="B5" s="11" t="s">
        <v>169</v>
      </c>
      <c r="C5" s="11" t="s">
        <v>170</v>
      </c>
      <c r="D5" s="11" t="s">
        <v>171</v>
      </c>
      <c r="E5" s="11" t="s">
        <v>172</v>
      </c>
      <c r="F5" s="12" t="s">
        <v>173</v>
      </c>
    </row>
    <row r="6" spans="1:6" ht="54" customHeight="1">
      <c r="A6" s="3" t="s">
        <v>174</v>
      </c>
      <c r="B6" s="3" t="s">
        <v>175</v>
      </c>
      <c r="C6" s="3" t="s">
        <v>176</v>
      </c>
      <c r="D6" s="3" t="s">
        <v>177</v>
      </c>
      <c r="E6" s="3" t="s">
        <v>178</v>
      </c>
      <c r="F6" s="3" t="s">
        <v>179</v>
      </c>
    </row>
    <row r="7" spans="1:6" ht="54" customHeight="1">
      <c r="A7" s="4" t="s">
        <v>174</v>
      </c>
      <c r="B7" s="4" t="s">
        <v>180</v>
      </c>
      <c r="C7" s="4" t="s">
        <v>181</v>
      </c>
      <c r="D7" s="4" t="s">
        <v>182</v>
      </c>
      <c r="E7" s="4" t="s">
        <v>183</v>
      </c>
      <c r="F7" s="4" t="s">
        <v>184</v>
      </c>
    </row>
    <row r="8" spans="1:6" ht="54" customHeight="1">
      <c r="A8" s="4" t="s">
        <v>174</v>
      </c>
      <c r="B8" s="4" t="s">
        <v>185</v>
      </c>
      <c r="C8" s="4" t="s">
        <v>186</v>
      </c>
      <c r="D8" s="4" t="s">
        <v>187</v>
      </c>
      <c r="E8" s="4" t="s">
        <v>178</v>
      </c>
      <c r="F8" s="4" t="s">
        <v>179</v>
      </c>
    </row>
    <row r="9" spans="1:6" ht="54" customHeight="1">
      <c r="A9" s="4" t="s">
        <v>174</v>
      </c>
      <c r="B9" s="4" t="s">
        <v>188</v>
      </c>
      <c r="C9" s="4" t="s">
        <v>189</v>
      </c>
      <c r="D9" s="4" t="s">
        <v>190</v>
      </c>
      <c r="E9" s="4" t="s">
        <v>178</v>
      </c>
      <c r="F9" s="4" t="s">
        <v>191</v>
      </c>
    </row>
    <row r="10" spans="1:6" ht="54" customHeight="1">
      <c r="A10" s="4" t="s">
        <v>174</v>
      </c>
      <c r="B10" s="4" t="s">
        <v>192</v>
      </c>
      <c r="C10" s="4" t="s">
        <v>193</v>
      </c>
      <c r="D10" s="4" t="s">
        <v>194</v>
      </c>
      <c r="E10" s="4" t="s">
        <v>178</v>
      </c>
      <c r="F10" s="4" t="s">
        <v>179</v>
      </c>
    </row>
    <row r="11" spans="1:6" ht="54" customHeight="1">
      <c r="A11" s="4" t="s">
        <v>174</v>
      </c>
      <c r="B11" s="4" t="s">
        <v>195</v>
      </c>
      <c r="C11" s="4" t="s">
        <v>196</v>
      </c>
      <c r="D11" s="4" t="s">
        <v>197</v>
      </c>
      <c r="E11" s="4" t="s">
        <v>183</v>
      </c>
      <c r="F11" s="4" t="s">
        <v>184</v>
      </c>
    </row>
    <row r="12" spans="1:6" ht="54" customHeight="1">
      <c r="A12" s="4" t="s">
        <v>174</v>
      </c>
      <c r="B12" s="4" t="s">
        <v>198</v>
      </c>
      <c r="C12" s="4" t="s">
        <v>199</v>
      </c>
      <c r="D12" s="4" t="s">
        <v>200</v>
      </c>
      <c r="E12" s="4" t="s">
        <v>178</v>
      </c>
      <c r="F12" s="4" t="s">
        <v>179</v>
      </c>
    </row>
    <row r="13" spans="1:6" ht="54" customHeight="1">
      <c r="A13" s="4" t="s">
        <v>201</v>
      </c>
      <c r="B13" s="4" t="s">
        <v>202</v>
      </c>
      <c r="C13" s="4" t="s">
        <v>203</v>
      </c>
      <c r="D13" s="4" t="s">
        <v>204</v>
      </c>
      <c r="E13" s="4" t="s">
        <v>178</v>
      </c>
      <c r="F13" s="4" t="s">
        <v>179</v>
      </c>
    </row>
    <row r="14" spans="1:6" ht="54" customHeight="1">
      <c r="A14" s="4" t="s">
        <v>201</v>
      </c>
      <c r="B14" s="4" t="s">
        <v>205</v>
      </c>
      <c r="C14" s="4" t="s">
        <v>206</v>
      </c>
      <c r="D14" s="4" t="s">
        <v>207</v>
      </c>
      <c r="E14" s="4" t="s">
        <v>183</v>
      </c>
      <c r="F14" s="4" t="s">
        <v>179</v>
      </c>
    </row>
    <row r="15" spans="1:6" ht="54" customHeight="1">
      <c r="A15" s="4" t="s">
        <v>208</v>
      </c>
      <c r="B15" s="4" t="s">
        <v>202</v>
      </c>
      <c r="C15" s="4" t="s">
        <v>209</v>
      </c>
      <c r="D15" s="4" t="s">
        <v>210</v>
      </c>
      <c r="E15" s="4" t="s">
        <v>178</v>
      </c>
      <c r="F15" s="4" t="s">
        <v>179</v>
      </c>
    </row>
    <row r="16" spans="1:6" ht="54" customHeight="1">
      <c r="A16" s="4" t="s">
        <v>208</v>
      </c>
      <c r="B16" s="4" t="s">
        <v>211</v>
      </c>
      <c r="C16" s="4" t="s">
        <v>212</v>
      </c>
      <c r="D16" s="4" t="s">
        <v>213</v>
      </c>
      <c r="E16" s="4" t="s">
        <v>183</v>
      </c>
      <c r="F16" s="4" t="s">
        <v>184</v>
      </c>
    </row>
    <row r="17" spans="1:6" ht="54" customHeight="1">
      <c r="A17" s="4" t="s">
        <v>208</v>
      </c>
      <c r="B17" s="4" t="s">
        <v>214</v>
      </c>
      <c r="C17" s="4" t="s">
        <v>215</v>
      </c>
      <c r="D17" s="4" t="s">
        <v>216</v>
      </c>
      <c r="E17" s="4" t="s">
        <v>183</v>
      </c>
      <c r="F17" s="4" t="s">
        <v>191</v>
      </c>
    </row>
    <row r="18" spans="1:6" ht="54" customHeight="1">
      <c r="A18" s="4" t="s">
        <v>217</v>
      </c>
      <c r="B18" s="4" t="s">
        <v>202</v>
      </c>
      <c r="C18" s="4" t="s">
        <v>218</v>
      </c>
      <c r="D18" s="4" t="s">
        <v>219</v>
      </c>
      <c r="E18" s="4" t="s">
        <v>178</v>
      </c>
      <c r="F18" s="4" t="s">
        <v>179</v>
      </c>
    </row>
    <row r="19" spans="1:6" ht="54" customHeight="1">
      <c r="A19" s="4" t="s">
        <v>217</v>
      </c>
      <c r="B19" s="4" t="s">
        <v>220</v>
      </c>
      <c r="C19" s="4" t="s">
        <v>221</v>
      </c>
      <c r="D19" s="4" t="s">
        <v>222</v>
      </c>
      <c r="E19" s="4" t="s">
        <v>183</v>
      </c>
      <c r="F19" s="4" t="s">
        <v>191</v>
      </c>
    </row>
    <row r="20" spans="1:6" ht="54" customHeight="1">
      <c r="A20" s="4" t="s">
        <v>217</v>
      </c>
      <c r="B20" s="4" t="s">
        <v>223</v>
      </c>
      <c r="C20" s="4" t="s">
        <v>224</v>
      </c>
      <c r="D20" s="4" t="s">
        <v>225</v>
      </c>
      <c r="E20" s="4" t="s">
        <v>178</v>
      </c>
      <c r="F20" s="4" t="s">
        <v>179</v>
      </c>
    </row>
    <row r="21" spans="1:6" ht="54" customHeight="1">
      <c r="A21" s="4" t="s">
        <v>217</v>
      </c>
      <c r="B21" s="4" t="s">
        <v>226</v>
      </c>
      <c r="C21" s="4" t="s">
        <v>227</v>
      </c>
      <c r="D21" s="4" t="s">
        <v>187</v>
      </c>
      <c r="E21" s="4" t="s">
        <v>178</v>
      </c>
      <c r="F21" s="4" t="s">
        <v>179</v>
      </c>
    </row>
    <row r="22" spans="1:6" ht="54" customHeight="1">
      <c r="A22" s="4" t="s">
        <v>174</v>
      </c>
      <c r="B22" s="4" t="s">
        <v>228</v>
      </c>
      <c r="C22" s="4" t="s">
        <v>229</v>
      </c>
      <c r="D22" s="4" t="s">
        <v>230</v>
      </c>
      <c r="E22" s="4" t="s">
        <v>231</v>
      </c>
      <c r="F22" s="4" t="s">
        <v>179</v>
      </c>
    </row>
    <row r="23" spans="1:6" ht="54" customHeight="1">
      <c r="A23" s="4" t="s">
        <v>174</v>
      </c>
      <c r="B23" s="4" t="s">
        <v>232</v>
      </c>
      <c r="C23" s="4" t="s">
        <v>233</v>
      </c>
      <c r="D23" s="4" t="s">
        <v>234</v>
      </c>
      <c r="E23" s="4" t="s">
        <v>183</v>
      </c>
      <c r="F23" s="4" t="s">
        <v>179</v>
      </c>
    </row>
    <row r="27" spans="1:6">
      <c r="A27" s="25"/>
      <c r="B27" s="25"/>
      <c r="C27" s="25"/>
      <c r="D27" s="25"/>
      <c r="E27" s="25"/>
      <c r="F27" s="25"/>
    </row>
    <row r="28" spans="1:6" ht="30.95" customHeight="1"/>
    <row r="29" spans="1:6" ht="47.1" customHeight="1"/>
    <row r="30" spans="1:6" ht="47.1" customHeight="1"/>
    <row r="31" spans="1:6" ht="47.1" customHeight="1"/>
    <row r="32" spans="1:6" ht="47.1" customHeight="1"/>
    <row r="33" ht="47.1" customHeight="1"/>
    <row r="34" ht="47.1" customHeight="1"/>
  </sheetData>
  <mergeCells count="3">
    <mergeCell ref="A1:F1"/>
    <mergeCell ref="A2:F2"/>
    <mergeCell ref="A27:F27"/>
  </mergeCells>
  <conditionalFormatting sqref="E6:E23">
    <cfRule type="containsText" dxfId="6" priority="1" operator="containsText" text="Rejected"/>
    <cfRule type="containsText" dxfId="5" priority="2" operator="containsText" text="Warning"/>
    <cfRule type="containsText" dxfId="4" priority="4" operator="containsText" text="Rejected"/>
    <cfRule type="containsText" dxfId="3" priority="5" operator="containsText" text="Review Required"/>
    <cfRule type="containsText" dxfId="2" priority="6" operator="containsText" text="Rejected"/>
    <cfRule type="containsText" dxfId="1" priority="7" operator="containsText" text="Review Required"/>
  </conditionalFormatting>
  <conditionalFormatting sqref="F6:F23">
    <cfRule type="containsText" dxfId="0" priority="3" operator="containsText" text="Critical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Setup Guide</vt:lpstr>
      <vt:lpstr>Query Catalogue</vt:lpstr>
      <vt:lpstr>Validation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Geeyoon Lim</cp:lastModifiedBy>
  <dcterms:modified xsi:type="dcterms:W3CDTF">2026-07-24T13:56:17Z</dcterms:modified>
</cp:coreProperties>
</file>